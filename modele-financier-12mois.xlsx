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verture" sheetId="1" state="visible" r:id="rId1"/>
    <sheet xmlns:r="http://schemas.openxmlformats.org/officeDocument/2006/relationships" name="Modèle" sheetId="2" state="visible" r:id="rId2"/>
    <sheet xmlns:r="http://schemas.openxmlformats.org/officeDocument/2006/relationships" name="Réaliste" sheetId="3" state="visible" r:id="rId3"/>
    <sheet xmlns:r="http://schemas.openxmlformats.org/officeDocument/2006/relationships" name="Ambitieux" sheetId="4" state="visible" r:id="rId4"/>
    <sheet xmlns:r="http://schemas.openxmlformats.org/officeDocument/2006/relationships" name="Compara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0.0"/>
    <numFmt numFmtId="166" formatCode="#,##0.00&quot; €&quot;"/>
    <numFmt numFmtId="167" formatCode="0.0%"/>
  </numFmts>
  <fonts count="18">
    <font>
      <name val="Calibri"/>
      <family val="2"/>
      <color theme="1"/>
      <sz val="11"/>
      <scheme val="minor"/>
    </font>
    <font>
      <b val="1"/>
      <sz val="18"/>
    </font>
    <font>
      <color rgb="00666666"/>
      <sz val="11"/>
    </font>
    <font>
      <b val="1"/>
      <sz val="13"/>
    </font>
    <font>
      <b val="1"/>
      <color rgb="00FFFFFF"/>
    </font>
    <font>
      <sz val="11"/>
    </font>
    <font>
      <b val="1"/>
      <color rgb="001E7B34"/>
      <sz val="11"/>
    </font>
    <font>
      <color rgb="001E7B34"/>
      <sz val="11"/>
    </font>
    <font>
      <b val="1"/>
      <sz val="11"/>
    </font>
    <font>
      <color rgb="00666666"/>
      <sz val="10"/>
    </font>
    <font>
      <b val="1"/>
      <sz val="16"/>
    </font>
    <font>
      <sz val="10"/>
    </font>
    <font>
      <b val="1"/>
      <color rgb="000066CC"/>
      <sz val="10"/>
    </font>
    <font>
      <color rgb="00666666"/>
      <sz val="9"/>
    </font>
    <font>
      <color rgb="00666666"/>
      <sz val="8"/>
    </font>
    <font>
      <color rgb="000066CC"/>
      <sz val="11"/>
    </font>
    <font>
      <b val="1"/>
      <color rgb="00000000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6" fillId="0" borderId="0" applyAlignment="1" pivotButton="0" quotePrefix="0" xfId="0">
      <alignment horizontal="center"/>
    </xf>
    <xf numFmtId="0" fontId="4" fillId="2" borderId="0" pivotButton="0" quotePrefix="0" xfId="0"/>
    <xf numFmtId="1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12" fillId="0" borderId="0" applyAlignment="1" pivotButton="0" quotePrefix="0" xfId="0">
      <alignment horizontal="center"/>
    </xf>
    <xf numFmtId="0" fontId="13" fillId="0" borderId="0" pivotButton="0" quotePrefix="0" xfId="0"/>
    <xf numFmtId="166" fontId="12" fillId="0" borderId="0" applyAlignment="1" pivotButton="0" quotePrefix="0" xfId="0">
      <alignment horizontal="center"/>
    </xf>
    <xf numFmtId="1" fontId="12" fillId="0" borderId="0" applyAlignment="1" pivotButton="0" quotePrefix="0" xfId="0">
      <alignment horizontal="center"/>
    </xf>
    <xf numFmtId="167" fontId="12" fillId="0" borderId="0" applyAlignment="1" pivotButton="0" quotePrefix="0" xfId="0">
      <alignment horizont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8" fillId="3" borderId="0" pivotButton="0" quotePrefix="0" xfId="0"/>
    <xf numFmtId="0" fontId="0" fillId="3" borderId="0" pivotButton="0" quotePrefix="0" xfId="0"/>
    <xf numFmtId="1" fontId="15" fillId="0" borderId="0" applyAlignment="1" pivotButton="0" quotePrefix="0" xfId="0">
      <alignment horizontal="center"/>
    </xf>
    <xf numFmtId="1" fontId="16" fillId="0" borderId="0" applyAlignment="1" pivotButton="0" quotePrefix="0" xfId="0">
      <alignment horizontal="center"/>
    </xf>
    <xf numFmtId="9" fontId="15" fillId="0" borderId="0" applyAlignment="1" pivotButton="0" quotePrefix="0" xfId="0">
      <alignment horizontal="center"/>
    </xf>
    <xf numFmtId="165" fontId="17" fillId="0" borderId="0" applyAlignment="1" pivotButton="0" quotePrefix="0" xfId="0">
      <alignment horizontal="center"/>
    </xf>
    <xf numFmtId="1" fontId="17" fillId="0" borderId="0" applyAlignment="1" pivotButton="0" quotePrefix="0" xfId="0">
      <alignment horizontal="center"/>
    </xf>
    <xf numFmtId="166" fontId="17" fillId="0" borderId="0" applyAlignment="1" pivotButton="0" quotePrefix="0" xfId="0">
      <alignment horizontal="center"/>
    </xf>
    <xf numFmtId="166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0" fontId="8" fillId="0" borderId="1" pivotButton="0" quotePrefix="0" xfId="0"/>
    <xf numFmtId="166" fontId="16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left" wrapText="1"/>
    </xf>
    <xf numFmtId="0" fontId="4" fillId="2" borderId="0" applyAlignment="1" pivotButton="0" quotePrefix="0" xfId="0">
      <alignment horizontal="center" wrapText="1"/>
    </xf>
    <xf numFmtId="164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total, coûts et trésorerie cumulée (€)</a:t>
            </a:r>
          </a:p>
        </rich>
      </tx>
    </title>
    <plotArea>
      <lineChart>
        <grouping val="standard"/>
        <ser>
          <idx val="0"/>
          <order val="0"/>
          <tx>
            <strRef>
              <f>'Modèle'!D28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'Modèle'!$E$18:$P$18</f>
            </numRef>
          </cat>
          <val>
            <numRef>
              <f>'Modèle'!$E$28:$P$28</f>
            </numRef>
          </val>
        </ser>
        <ser>
          <idx val="1"/>
          <order val="1"/>
          <tx>
            <strRef>
              <f>'Modèle'!D34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'Modèle'!$E$18:$P$18</f>
            </numRef>
          </cat>
          <val>
            <numRef>
              <f>'Modèle'!$E$34:$P$34</f>
            </numRef>
          </val>
        </ser>
        <ser>
          <idx val="2"/>
          <order val="2"/>
          <tx>
            <strRef>
              <f>'Modèle'!D37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'Modèle'!$E$18:$P$18</f>
            </numRef>
          </cat>
          <val>
            <numRef>
              <f>'Modèle'!$E$37:$P$37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total, coûts et trésorerie cumulée (€)</a:t>
            </a:r>
          </a:p>
        </rich>
      </tx>
    </title>
    <plotArea>
      <lineChart>
        <grouping val="standard"/>
        <ser>
          <idx val="0"/>
          <order val="0"/>
          <tx>
            <strRef>
              <f>'Réaliste'!D28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'Réaliste'!$E$18:$P$18</f>
            </numRef>
          </cat>
          <val>
            <numRef>
              <f>'Réaliste'!$E$28:$P$28</f>
            </numRef>
          </val>
        </ser>
        <ser>
          <idx val="1"/>
          <order val="1"/>
          <tx>
            <strRef>
              <f>'Réaliste'!D34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'Réaliste'!$E$18:$P$18</f>
            </numRef>
          </cat>
          <val>
            <numRef>
              <f>'Réaliste'!$E$34:$P$34</f>
            </numRef>
          </val>
        </ser>
        <ser>
          <idx val="2"/>
          <order val="2"/>
          <tx>
            <strRef>
              <f>'Réaliste'!D37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'Réaliste'!$E$18:$P$18</f>
            </numRef>
          </cat>
          <val>
            <numRef>
              <f>'Réaliste'!$E$37:$P$37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total, coûts et trésorerie cumulée (€)</a:t>
            </a:r>
          </a:p>
        </rich>
      </tx>
    </title>
    <plotArea>
      <lineChart>
        <grouping val="standard"/>
        <ser>
          <idx val="0"/>
          <order val="0"/>
          <tx>
            <strRef>
              <f>'Ambitieux'!D28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'Ambitieux'!$E$18:$P$18</f>
            </numRef>
          </cat>
          <val>
            <numRef>
              <f>'Ambitieux'!$E$28:$P$28</f>
            </numRef>
          </val>
        </ser>
        <ser>
          <idx val="1"/>
          <order val="1"/>
          <tx>
            <strRef>
              <f>'Ambitieux'!D34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'Ambitieux'!$E$18:$P$18</f>
            </numRef>
          </cat>
          <val>
            <numRef>
              <f>'Ambitieux'!$E$34:$P$34</f>
            </numRef>
          </val>
        </ser>
        <ser>
          <idx val="2"/>
          <order val="2"/>
          <tx>
            <strRef>
              <f>'Ambitieux'!D37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'Ambitieux'!$E$18:$P$18</f>
            </numRef>
          </cat>
          <val>
            <numRef>
              <f>'Ambitieux'!$E$37:$P$37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année vs résultat net par scénario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'Comparaison'!C4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'Comparaison'!$B$5:$B$7</f>
            </numRef>
          </cat>
          <val>
            <numRef>
              <f>'Comparaison'!$C$5:$C$7</f>
            </numRef>
          </val>
        </ser>
        <ser>
          <idx val="1"/>
          <order val="1"/>
          <tx>
            <strRef>
              <f>'Comparaison'!E4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'Comparaison'!$B$5:$B$7</f>
            </numRef>
          </cat>
          <val>
            <numRef>
              <f>'Comparaison'!$E$5:$E$7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39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39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39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8" customWidth="1" min="5" max="5"/>
    <col width="55" customWidth="1" min="6" max="6"/>
  </cols>
  <sheetData>
    <row r="2" ht="34" customHeight="1">
      <c r="B2" s="1" t="inlineStr">
        <is>
          <t>On mange quoi / Fidelity — Modèle financier 12 mois, 3 scénarios</t>
        </is>
      </c>
    </row>
    <row r="3">
      <c r="B3" s="2" t="inlineStr">
        <is>
          <t>Pessimiste · Réaliste · Ambitieux — 31 août 2026</t>
        </is>
      </c>
    </row>
    <row r="5">
      <c r="B5" s="3" t="inlineStr">
        <is>
          <t>Vue d'ensemble — année 1</t>
        </is>
      </c>
    </row>
    <row r="6">
      <c r="B6" s="4" t="inlineStr">
        <is>
          <t>Scénario</t>
        </is>
      </c>
      <c r="C6" s="5" t="inlineStr">
        <is>
          <t>CA année</t>
        </is>
      </c>
      <c r="D6" s="5" t="inlineStr">
        <is>
          <t>Résultat net</t>
        </is>
      </c>
      <c r="E6" s="5" t="inlineStr">
        <is>
          <t>Trésorerie fin M12</t>
        </is>
      </c>
    </row>
    <row r="7">
      <c r="B7" s="6" t="inlineStr">
        <is>
          <t>Pessimiste (gratter le fond)</t>
        </is>
      </c>
      <c r="C7" s="7">
        <f>'Modèle'!Q28</f>
        <v>191.26</v>
        <v/>
      </c>
      <c r="D7" s="7">
        <f>'Modèle'!Q36</f>
        <v>20.8001</v>
        <v/>
      </c>
      <c r="E7" s="7">
        <f>'Modèle'!P37</f>
        <v>20.8001</v>
        <v/>
      </c>
    </row>
    <row r="8">
      <c r="B8" s="6" t="inlineStr">
        <is>
          <t>Réaliste</t>
        </is>
      </c>
      <c r="C8" s="7">
        <f>'Réaliste'!Q28</f>
        <v>2950.08</v>
        <v/>
      </c>
      <c r="D8" s="7">
        <f>'Réaliste'!Q36</f>
        <v>2631.3188</v>
        <v/>
      </c>
      <c r="E8" s="7">
        <f>'Réaliste'!P37</f>
        <v>2631.3188</v>
        <v/>
      </c>
    </row>
    <row r="9">
      <c r="B9" s="6" t="inlineStr">
        <is>
          <t>Ambitieux</t>
        </is>
      </c>
      <c r="C9" s="7">
        <f>'Ambitieux'!Q28</f>
        <v>17113.84</v>
        <v/>
      </c>
      <c r="D9" s="7">
        <f>'Ambitieux'!Q36</f>
        <v>16507.4824</v>
        <v/>
      </c>
      <c r="E9" s="7">
        <f>'Ambitieux'!P37</f>
        <v>16507.4824</v>
        <v/>
      </c>
    </row>
    <row r="11">
      <c r="B11" s="3" t="inlineStr">
        <is>
          <t>Détails fin M12</t>
        </is>
      </c>
    </row>
    <row r="12">
      <c r="B12" s="8" t="inlineStr">
        <is>
          <t>Scénario</t>
        </is>
      </c>
      <c r="C12" s="8" t="inlineStr">
        <is>
          <t>Restos actifs</t>
        </is>
      </c>
      <c r="D12" s="8" t="inlineStr">
        <is>
          <t>Restos premium</t>
        </is>
      </c>
      <c r="E12" s="8" t="inlineStr">
        <is>
          <t>Mois bénéficiaires</t>
        </is>
      </c>
    </row>
    <row r="13">
      <c r="B13" s="6" t="inlineStr">
        <is>
          <t>Pessimiste (gratter le fond)</t>
        </is>
      </c>
      <c r="C13" s="9">
        <f>'Modèle'!P20</f>
        <v>9.0</v>
        <v/>
      </c>
      <c r="D13" s="10">
        <f>'Modèle'!P22</f>
        <v>1.35</v>
        <v/>
      </c>
      <c t="str" r="E13" s="11">
        <f>COUNTIF('Modèle'!E36:P36,"&gt;0")&amp;" / 12"</f>
        <v>8 / 12</v>
        <v/>
      </c>
    </row>
    <row r="14">
      <c r="B14" s="6" t="inlineStr">
        <is>
          <t>Réaliste</t>
        </is>
      </c>
      <c r="C14" s="9">
        <f>'Réaliste'!P20</f>
        <v>38.0</v>
        <v/>
      </c>
      <c r="D14" s="10">
        <f>'Réaliste'!P22</f>
        <v>10.64</v>
        <v/>
      </c>
      <c t="str" r="E14" s="11">
        <f>COUNTIF('Réaliste'!E36:P36,"&gt;0")&amp;" / 12"</f>
        <v>12 / 12</v>
        <v/>
      </c>
    </row>
    <row r="15">
      <c r="B15" s="6" t="inlineStr">
        <is>
          <t>Ambitieux</t>
        </is>
      </c>
      <c r="C15" s="9">
        <f>'Ambitieux'!P20</f>
        <v>125.0</v>
        <v/>
      </c>
      <c r="D15" s="10">
        <f>'Ambitieux'!P22</f>
        <v>47.5</v>
        <v/>
      </c>
      <c t="str" r="E15" s="11">
        <f>COUNTIF('Ambitieux'!E36:P36,"&gt;0")&amp;" / 12"</f>
        <v>12 / 12</v>
        <v/>
      </c>
    </row>
    <row r="17">
      <c r="B17" s="3" t="inlineStr">
        <is>
          <t>Contenu du classeur</t>
        </is>
      </c>
    </row>
    <row r="18">
      <c r="B18" s="12" t="inlineStr">
        <is>
          <t>Modèle</t>
        </is>
      </c>
      <c r="C18" s="13" t="inlineStr">
        <is>
          <t>Scénario pessimiste : croissance minimale, 9 restos fin M12, aucun white-label</t>
        </is>
      </c>
    </row>
    <row r="19">
      <c r="B19" s="12" t="inlineStr">
        <is>
          <t>Réaliste</t>
        </is>
      </c>
      <c r="C19" s="13" t="inlineStr">
        <is>
          <t>Bouche-à-oreille correct dans une ville : 38 restos fin M12, 1 contrat white-label</t>
        </is>
      </c>
    </row>
    <row r="20">
      <c r="B20" s="12" t="inlineStr">
        <is>
          <t>Ambitieux</t>
        </is>
      </c>
      <c r="C20" s="13" t="inlineStr">
        <is>
          <t>Ça prend : 125 restos fin M12, white-label + pub dès le 2e semestre</t>
        </is>
      </c>
    </row>
    <row r="22">
      <c r="B22" s="3" t="inlineStr">
        <is>
          <t>Mode d'emploi</t>
        </is>
      </c>
    </row>
    <row r="23">
      <c r="B23" s="13" t="inlineStr">
        <is>
          <t>Chaque scénario est autonome : ses hypothèses (cellules bleues) sont en haut de sa feuille.</t>
        </is>
      </c>
    </row>
    <row r="24">
      <c r="B24" s="13" t="inlineStr">
        <is>
          <t>Modifiez une cellule bleue, toute la feuille se recalcule.</t>
        </is>
      </c>
    </row>
    <row r="25">
      <c r="B25" s="13" t="inlineStr">
        <is>
          <t>Convention couleurs : bleu = saisie, noir = calcul, vert = référence à une autre feuille.</t>
        </is>
      </c>
    </row>
  </sheetData>
  <mergeCells count="8">
    <mergeCell ref="C18:F18"/>
    <mergeCell ref="B24:F24"/>
    <mergeCell ref="B2:F2"/>
    <mergeCell ref="C20:F20"/>
    <mergeCell ref="B25:F25"/>
    <mergeCell ref="B3:F3"/>
    <mergeCell ref="B23:F23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Q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2" ht="30" customHeight="1">
      <c r="B2" s="14" t="inlineStr">
        <is>
          <t>Scénario pessimiste — hypothèses et projection 12 mois</t>
        </is>
      </c>
    </row>
    <row r="4">
      <c r="B4" s="8" t="inlineStr">
        <is>
          <t>Paramètre</t>
        </is>
      </c>
      <c r="C4" s="8" t="inlineStr">
        <is>
          <t>Valeur</t>
        </is>
      </c>
      <c r="D4" s="8" t="inlineStr">
        <is>
          <t>Note</t>
        </is>
      </c>
    </row>
    <row r="5">
      <c r="B5" s="15" t="inlineStr">
        <is>
          <t>Prix abonnement premium (€/mois)</t>
        </is>
      </c>
      <c r="C5" s="16" t="n">
        <v>19</v>
      </c>
      <c r="D5" s="17" t="inlineStr">
        <is>
          <t>Fourchette basse</t>
        </is>
      </c>
    </row>
    <row r="6">
      <c r="B6" s="15" t="inlineStr">
        <is>
          <t>Frais par récompense débloquée (€)</t>
        </is>
      </c>
      <c r="C6" s="18" t="n">
        <v>0.3</v>
      </c>
      <c r="D6" s="17" t="inlineStr">
        <is>
          <t>Prélevé uniquement quand un client utilise sa récompense</t>
        </is>
      </c>
    </row>
    <row r="7">
      <c r="B7" s="15" t="inlineStr">
        <is>
          <t>Récompenses débloquées / restaurant actif / mois</t>
        </is>
      </c>
      <c r="C7" s="19" t="n">
        <v>6</v>
      </c>
      <c r="D7" s="17" t="inlineStr">
        <is>
          <t>Base clients très petite</t>
        </is>
      </c>
    </row>
    <row r="8">
      <c r="B8" s="15" t="inlineStr">
        <is>
          <t>Commission Stripe variable (%)</t>
        </is>
      </c>
      <c r="C8" s="20" t="n">
        <v>0.015</v>
      </c>
      <c r="D8" s="17" t="inlineStr">
        <is>
          <t>Sur les abonnements encaissés</t>
        </is>
      </c>
    </row>
    <row r="9">
      <c r="B9" s="15" t="inlineStr">
        <is>
          <t>Commission Stripe fixe (€/abonné/mois)</t>
        </is>
      </c>
      <c r="C9" s="18" t="n">
        <v>0.25</v>
      </c>
      <c r="D9" s="17" t="inlineStr">
        <is>
          <t>Par restaurant premium facturé</t>
        </is>
      </c>
    </row>
    <row r="10">
      <c r="B10" s="15" t="inlineStr">
        <is>
          <t>Nom de domaine (€/mois)</t>
        </is>
      </c>
      <c r="C10" s="18" t="n">
        <v>0.83</v>
      </c>
      <c r="D10" s="17" t="inlineStr">
        <is>
          <t>~10 €/an lissés</t>
        </is>
      </c>
    </row>
    <row r="11">
      <c r="B11" s="15" t="inlineStr">
        <is>
          <t>Apple Developer (€/mois)</t>
        </is>
      </c>
      <c r="C11" s="18" t="n">
        <v>7.75</v>
      </c>
      <c r="D11" s="17" t="inlineStr">
        <is>
          <t>99 $/an ≈ 93 €/an, lissés</t>
        </is>
      </c>
    </row>
    <row r="12">
      <c r="B12" s="15" t="inlineStr">
        <is>
          <t>Mois d'activation Apple Developer</t>
        </is>
      </c>
      <c r="C12" s="19" t="n">
        <v>4</v>
      </c>
      <c r="D12" s="17" t="inlineStr">
        <is>
          <t>Phase 2 Wallet</t>
        </is>
      </c>
    </row>
    <row r="13">
      <c r="B13" s="15" t="inlineStr">
        <is>
          <t>Infra au-delà des free tiers (€/mois)</t>
        </is>
      </c>
      <c r="C13" s="16" t="n">
        <v>22</v>
      </c>
      <c r="D13" s="17" t="inlineStr">
        <is>
          <t>Free tiers longtemps suffisants</t>
        </is>
      </c>
    </row>
    <row r="14">
      <c r="B14" s="15" t="inlineStr">
        <is>
          <t>Mois de bascule infra payante</t>
        </is>
      </c>
      <c r="C14" s="19" t="n">
        <v>9</v>
      </c>
      <c r="D14" s="17" t="inlineStr">
        <is>
          <t>Croissance lente = bascule tardive</t>
        </is>
      </c>
    </row>
    <row r="16">
      <c r="B16" s="3" t="inlineStr">
        <is>
          <t>Projection mensuelle</t>
        </is>
      </c>
    </row>
    <row r="17">
      <c r="D17" s="21" t="inlineStr">
        <is>
          <t>N° du mois</t>
        </is>
      </c>
      <c r="E17" s="22" t="n">
        <v>1</v>
      </c>
      <c r="F17" s="22" t="n">
        <v>2</v>
      </c>
      <c r="G17" s="22" t="n">
        <v>3</v>
      </c>
      <c r="H17" s="22" t="n">
        <v>4</v>
      </c>
      <c r="I17" s="22" t="n">
        <v>5</v>
      </c>
      <c r="J17" s="22" t="n">
        <v>6</v>
      </c>
      <c r="K17" s="22" t="n">
        <v>7</v>
      </c>
      <c r="L17" s="22" t="n">
        <v>8</v>
      </c>
      <c r="M17" s="22" t="n">
        <v>9</v>
      </c>
      <c r="N17" s="22" t="n">
        <v>10</v>
      </c>
      <c r="O17" s="22" t="n">
        <v>11</v>
      </c>
      <c r="P17" s="22" t="n">
        <v>12</v>
      </c>
    </row>
    <row r="18">
      <c r="D18" s="8" t="inlineStr">
        <is>
          <t>Ligne</t>
        </is>
      </c>
      <c r="E18" s="5" t="inlineStr">
        <is>
          <t>M1</t>
        </is>
      </c>
      <c r="F18" s="5" t="inlineStr">
        <is>
          <t>M2</t>
        </is>
      </c>
      <c r="G18" s="5" t="inlineStr">
        <is>
          <t>M3</t>
        </is>
      </c>
      <c r="H18" s="5" t="inlineStr">
        <is>
          <t>M4</t>
        </is>
      </c>
      <c r="I18" s="5" t="inlineStr">
        <is>
          <t>M5</t>
        </is>
      </c>
      <c r="J18" s="5" t="inlineStr">
        <is>
          <t>M6</t>
        </is>
      </c>
      <c r="K18" s="5" t="inlineStr">
        <is>
          <t>M7</t>
        </is>
      </c>
      <c r="L18" s="5" t="inlineStr">
        <is>
          <t>M8</t>
        </is>
      </c>
      <c r="M18" s="5" t="inlineStr">
        <is>
          <t>M9</t>
        </is>
      </c>
      <c r="N18" s="5" t="inlineStr">
        <is>
          <t>M10</t>
        </is>
      </c>
      <c r="O18" s="5" t="inlineStr">
        <is>
          <t>M11</t>
        </is>
      </c>
      <c r="P18" s="5" t="inlineStr">
        <is>
          <t>M12</t>
        </is>
      </c>
      <c r="Q18" s="5" t="inlineStr">
        <is>
          <t>Total</t>
        </is>
      </c>
    </row>
    <row r="19">
      <c r="D19" s="23" t="inlineStr">
        <is>
          <t>VOLUME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>
      <c r="D20" s="6" t="inlineStr">
        <is>
          <t>Restaurants actifs (saisie)</t>
        </is>
      </c>
      <c r="E20" s="25" t="n">
        <v>1</v>
      </c>
      <c r="F20" s="25" t="n">
        <v>1</v>
      </c>
      <c r="G20" s="25" t="n">
        <v>2</v>
      </c>
      <c r="H20" s="25" t="n">
        <v>2</v>
      </c>
      <c r="I20" s="25" t="n">
        <v>3</v>
      </c>
      <c r="J20" s="25" t="n">
        <v>4</v>
      </c>
      <c r="K20" s="25" t="n">
        <v>4</v>
      </c>
      <c r="L20" s="25" t="n">
        <v>5</v>
      </c>
      <c r="M20" s="25" t="n">
        <v>6</v>
      </c>
      <c r="N20" s="25" t="n">
        <v>7</v>
      </c>
      <c r="O20" s="25" t="n">
        <v>8</v>
      </c>
      <c r="P20" s="25" t="n">
        <v>9</v>
      </c>
      <c r="Q20" s="26">
        <f>P20</f>
        <v>9.0</v>
        <v/>
      </c>
    </row>
    <row r="21">
      <c r="D21" s="6" t="inlineStr">
        <is>
          <t>Taux de conversion premium (saisie)</t>
        </is>
      </c>
      <c r="E21" s="27" t="n">
        <v>0</v>
      </c>
      <c r="F21" s="27" t="n">
        <v>0</v>
      </c>
      <c r="G21" s="27" t="n">
        <v>0</v>
      </c>
      <c r="H21" s="27" t="n">
        <v>0.05</v>
      </c>
      <c r="I21" s="27" t="n">
        <v>0.05</v>
      </c>
      <c r="J21" s="27" t="n">
        <v>0.08</v>
      </c>
      <c r="K21" s="27" t="n">
        <v>0.08</v>
      </c>
      <c r="L21" s="27" t="n">
        <v>0.1</v>
      </c>
      <c r="M21" s="27" t="n">
        <v>0.1</v>
      </c>
      <c r="N21" s="27" t="n">
        <v>0.12</v>
      </c>
      <c r="O21" s="27" t="n">
        <v>0.12</v>
      </c>
      <c r="P21" s="27" t="n">
        <v>0.15</v>
      </c>
    </row>
    <row r="22">
      <c r="D22" s="6" t="inlineStr">
        <is>
          <t>Restaurants premium</t>
        </is>
      </c>
      <c r="E22" s="28">
        <f>E20*E21</f>
        <v>0.0</v>
        <v/>
      </c>
      <c r="F22" s="28">
        <f>F20*F21</f>
        <v>0.0</v>
        <v/>
      </c>
      <c r="G22" s="28">
        <f>G20*G21</f>
        <v>0.0</v>
        <v/>
      </c>
      <c r="H22" s="28">
        <f>H20*H21</f>
        <v>0.1</v>
        <v/>
      </c>
      <c r="I22" s="28">
        <f>I20*I21</f>
        <v>0.15</v>
        <v/>
      </c>
      <c r="J22" s="28">
        <f>J20*J21</f>
        <v>0.32</v>
        <v/>
      </c>
      <c r="K22" s="28">
        <f>K20*K21</f>
        <v>0.32</v>
        <v/>
      </c>
      <c r="L22" s="28">
        <f>L20*L21</f>
        <v>0.5</v>
        <v/>
      </c>
      <c r="M22" s="28">
        <f>M20*M21</f>
        <v>0.6</v>
        <v/>
      </c>
      <c r="N22" s="28">
        <f>N20*N21</f>
        <v>0.84</v>
        <v/>
      </c>
      <c r="O22" s="28">
        <f>O20*O21</f>
        <v>0.96</v>
        <v/>
      </c>
      <c r="P22" s="28">
        <f>P20*P21</f>
        <v>1.35</v>
        <v/>
      </c>
    </row>
    <row r="23">
      <c r="D23" s="6" t="inlineStr">
        <is>
          <t>Récompenses débloquées dans le mois</t>
        </is>
      </c>
      <c r="E23" s="29">
        <f>E20*$C$7</f>
        <v>6.0</v>
        <v/>
      </c>
      <c r="F23" s="29">
        <f>F20*$C$7</f>
        <v>6.0</v>
        <v/>
      </c>
      <c r="G23" s="29">
        <f>G20*$C$7</f>
        <v>12.0</v>
        <v/>
      </c>
      <c r="H23" s="29">
        <f>H20*$C$7</f>
        <v>12.0</v>
        <v/>
      </c>
      <c r="I23" s="29">
        <f>I20*$C$7</f>
        <v>18.0</v>
        <v/>
      </c>
      <c r="J23" s="29">
        <f>J20*$C$7</f>
        <v>24.0</v>
        <v/>
      </c>
      <c r="K23" s="29">
        <f>K20*$C$7</f>
        <v>24.0</v>
        <v/>
      </c>
      <c r="L23" s="29">
        <f>L20*$C$7</f>
        <v>30.0</v>
        <v/>
      </c>
      <c r="M23" s="29">
        <f>M20*$C$7</f>
        <v>36.0</v>
        <v/>
      </c>
      <c r="N23" s="29">
        <f>N20*$C$7</f>
        <v>42.0</v>
        <v/>
      </c>
      <c r="O23" s="29">
        <f>O20*$C$7</f>
        <v>48.0</v>
        <v/>
      </c>
      <c r="P23" s="29">
        <f>P20*$C$7</f>
        <v>54.0</v>
        <v/>
      </c>
      <c r="Q23" s="26">
        <f>SUM(E23:P23)</f>
        <v>312.0</v>
        <v/>
      </c>
    </row>
    <row r="24">
      <c r="D24" s="23" t="inlineStr">
        <is>
          <t>REVENUS (€)</t>
        </is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D25" s="6" t="inlineStr">
        <is>
          <t>Abonnements premium</t>
        </is>
      </c>
      <c r="E25" s="30">
        <f>E22*$C$5</f>
        <v>0.0</v>
        <v/>
      </c>
      <c r="F25" s="30">
        <f>F22*$C$5</f>
        <v>0.0</v>
        <v/>
      </c>
      <c r="G25" s="30">
        <f>G22*$C$5</f>
        <v>0.0</v>
        <v/>
      </c>
      <c r="H25" s="30">
        <f>H22*$C$5</f>
        <v>1.9</v>
        <v/>
      </c>
      <c r="I25" s="30">
        <f>I22*$C$5</f>
        <v>2.85</v>
        <v/>
      </c>
      <c r="J25" s="30">
        <f>J22*$C$5</f>
        <v>6.08</v>
        <v/>
      </c>
      <c r="K25" s="30">
        <f>K22*$C$5</f>
        <v>6.08</v>
        <v/>
      </c>
      <c r="L25" s="30">
        <f>L22*$C$5</f>
        <v>9.5</v>
        <v/>
      </c>
      <c r="M25" s="30">
        <f>M22*$C$5</f>
        <v>11.4</v>
        <v/>
      </c>
      <c r="N25" s="30">
        <f>N22*$C$5</f>
        <v>15.96</v>
        <v/>
      </c>
      <c r="O25" s="30">
        <f>O22*$C$5</f>
        <v>18.24</v>
        <v/>
      </c>
      <c r="P25" s="30">
        <f>P22*$C$5</f>
        <v>25.65</v>
        <v/>
      </c>
      <c r="Q25" s="31">
        <f>SUM(E25:P25)</f>
        <v>97.66</v>
        <v/>
      </c>
    </row>
    <row r="26">
      <c r="D26" s="6" t="inlineStr">
        <is>
          <t>Frais sur récompenses débloquées</t>
        </is>
      </c>
      <c r="E26" s="30">
        <f>E23*$C$6</f>
        <v>1.8</v>
        <v/>
      </c>
      <c r="F26" s="30">
        <f>F23*$C$6</f>
        <v>1.8</v>
        <v/>
      </c>
      <c r="G26" s="30">
        <f>G23*$C$6</f>
        <v>3.6</v>
        <v/>
      </c>
      <c r="H26" s="30">
        <f>H23*$C$6</f>
        <v>3.6</v>
        <v/>
      </c>
      <c r="I26" s="30">
        <f>I23*$C$6</f>
        <v>5.4</v>
        <v/>
      </c>
      <c r="J26" s="30">
        <f>J23*$C$6</f>
        <v>7.2</v>
        <v/>
      </c>
      <c r="K26" s="30">
        <f>K23*$C$6</f>
        <v>7.2</v>
        <v/>
      </c>
      <c r="L26" s="30">
        <f>L23*$C$6</f>
        <v>9.0</v>
        <v/>
      </c>
      <c r="M26" s="30">
        <f>M23*$C$6</f>
        <v>10.8</v>
        <v/>
      </c>
      <c r="N26" s="30">
        <f>N23*$C$6</f>
        <v>12.6</v>
        <v/>
      </c>
      <c r="O26" s="30">
        <f>O23*$C$6</f>
        <v>14.4</v>
        <v/>
      </c>
      <c r="P26" s="30">
        <f>P23*$C$6</f>
        <v>16.2</v>
        <v/>
      </c>
      <c r="Q26" s="31">
        <f>SUM(E26:P26)</f>
        <v>93.6</v>
        <v/>
      </c>
    </row>
    <row r="27">
      <c r="D27" s="6" t="inlineStr">
        <is>
          <t>White-label / pub (saisie)</t>
        </is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3">
        <f>SUM(E27:P27)</f>
        <v>0.0</v>
        <v/>
      </c>
    </row>
    <row r="28">
      <c r="D28" s="34" t="inlineStr">
        <is>
          <t>CA total</t>
        </is>
      </c>
      <c r="E28" s="35">
        <f>SUM(E25:E27)</f>
        <v>1.8</v>
        <v/>
      </c>
      <c r="F28" s="35">
        <f>SUM(F25:F27)</f>
        <v>1.8</v>
        <v/>
      </c>
      <c r="G28" s="35">
        <f>SUM(G25:G27)</f>
        <v>3.6</v>
        <v/>
      </c>
      <c r="H28" s="35">
        <f>SUM(H25:H27)</f>
        <v>5.5</v>
        <v/>
      </c>
      <c r="I28" s="35">
        <f>SUM(I25:I27)</f>
        <v>8.25</v>
        <v/>
      </c>
      <c r="J28" s="35">
        <f>SUM(J25:J27)</f>
        <v>13.28</v>
        <v/>
      </c>
      <c r="K28" s="35">
        <f>SUM(K25:K27)</f>
        <v>13.28</v>
        <v/>
      </c>
      <c r="L28" s="35">
        <f>SUM(L25:L27)</f>
        <v>18.5</v>
        <v/>
      </c>
      <c r="M28" s="35">
        <f>SUM(M25:M27)</f>
        <v>22.2</v>
        <v/>
      </c>
      <c r="N28" s="35">
        <f>SUM(N25:N27)</f>
        <v>28.56</v>
        <v/>
      </c>
      <c r="O28" s="35">
        <f>SUM(O25:O27)</f>
        <v>32.64</v>
        <v/>
      </c>
      <c r="P28" s="35">
        <f>SUM(P25:P27)</f>
        <v>41.85</v>
        <v/>
      </c>
      <c r="Q28" s="35">
        <f>SUM(E28:P28)</f>
        <v>191.26</v>
        <v/>
      </c>
    </row>
    <row r="29">
      <c r="D29" s="23" t="inlineStr">
        <is>
          <t>COÛTS (€)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>
      <c r="D30" s="6" t="inlineStr">
        <is>
          <t>Infra (hébergement, BDD, stockage)</t>
        </is>
      </c>
      <c r="E30" s="30">
        <f>IF(E$17&gt;=$C$14,$C$13,0)</f>
        <v>0.0</v>
        <v/>
      </c>
      <c r="F30" s="30">
        <f>IF(F$17&gt;=$C$14,$C$13,0)</f>
        <v>0.0</v>
        <v/>
      </c>
      <c r="G30" s="30">
        <f>IF(G$17&gt;=$C$14,$C$13,0)</f>
        <v>0.0</v>
        <v/>
      </c>
      <c r="H30" s="30">
        <f>IF(H$17&gt;=$C$14,$C$13,0)</f>
        <v>0.0</v>
        <v/>
      </c>
      <c r="I30" s="30">
        <f>IF(I$17&gt;=$C$14,$C$13,0)</f>
        <v>0.0</v>
        <v/>
      </c>
      <c r="J30" s="30">
        <f>IF(J$17&gt;=$C$14,$C$13,0)</f>
        <v>0.0</v>
        <v/>
      </c>
      <c r="K30" s="30">
        <f>IF(K$17&gt;=$C$14,$C$13,0)</f>
        <v>0.0</v>
        <v/>
      </c>
      <c r="L30" s="30">
        <f>IF(L$17&gt;=$C$14,$C$13,0)</f>
        <v>0.0</v>
        <v/>
      </c>
      <c r="M30" s="30">
        <f>IF(M$17&gt;=$C$14,$C$13,0)</f>
        <v>22.0</v>
        <v/>
      </c>
      <c r="N30" s="30">
        <f>IF(N$17&gt;=$C$14,$C$13,0)</f>
        <v>22.0</v>
        <v/>
      </c>
      <c r="O30" s="30">
        <f>IF(O$17&gt;=$C$14,$C$13,0)</f>
        <v>22.0</v>
        <v/>
      </c>
      <c r="P30" s="30">
        <f>IF(P$17&gt;=$C$14,$C$13,0)</f>
        <v>22.0</v>
        <v/>
      </c>
      <c r="Q30" s="31">
        <f>SUM(E30:P30)</f>
        <v>88.0</v>
        <v/>
      </c>
    </row>
    <row r="31">
      <c r="D31" s="6" t="inlineStr">
        <is>
          <t>Apple Developer</t>
        </is>
      </c>
      <c r="E31" s="30">
        <f>IF(E$17&gt;=$C$12,$C$11,0)</f>
        <v>0.0</v>
        <v/>
      </c>
      <c r="F31" s="30">
        <f>IF(F$17&gt;=$C$12,$C$11,0)</f>
        <v>0.0</v>
        <v/>
      </c>
      <c r="G31" s="30">
        <f>IF(G$17&gt;=$C$12,$C$11,0)</f>
        <v>0.0</v>
        <v/>
      </c>
      <c r="H31" s="30">
        <f>IF(H$17&gt;=$C$12,$C$11,0)</f>
        <v>7.75</v>
        <v/>
      </c>
      <c r="I31" s="30">
        <f>IF(I$17&gt;=$C$12,$C$11,0)</f>
        <v>7.75</v>
        <v/>
      </c>
      <c r="J31" s="30">
        <f>IF(J$17&gt;=$C$12,$C$11,0)</f>
        <v>7.75</v>
        <v/>
      </c>
      <c r="K31" s="30">
        <f>IF(K$17&gt;=$C$12,$C$11,0)</f>
        <v>7.75</v>
        <v/>
      </c>
      <c r="L31" s="30">
        <f>IF(L$17&gt;=$C$12,$C$11,0)</f>
        <v>7.75</v>
        <v/>
      </c>
      <c r="M31" s="30">
        <f>IF(M$17&gt;=$C$12,$C$11,0)</f>
        <v>7.75</v>
        <v/>
      </c>
      <c r="N31" s="30">
        <f>IF(N$17&gt;=$C$12,$C$11,0)</f>
        <v>7.75</v>
        <v/>
      </c>
      <c r="O31" s="30">
        <f>IF(O$17&gt;=$C$12,$C$11,0)</f>
        <v>7.75</v>
        <v/>
      </c>
      <c r="P31" s="30">
        <f>IF(P$17&gt;=$C$12,$C$11,0)</f>
        <v>7.75</v>
        <v/>
      </c>
      <c r="Q31" s="31">
        <f>SUM(E31:P31)</f>
        <v>69.75</v>
        <v/>
      </c>
    </row>
    <row r="32">
      <c r="D32" s="6" t="inlineStr">
        <is>
          <t>Nom de domaine</t>
        </is>
      </c>
      <c r="E32" s="30">
        <f>$C$10</f>
        <v>0.83</v>
        <v/>
      </c>
      <c r="F32" s="30">
        <f>$C$10</f>
        <v>0.83</v>
        <v/>
      </c>
      <c r="G32" s="30">
        <f>$C$10</f>
        <v>0.83</v>
        <v/>
      </c>
      <c r="H32" s="30">
        <f>$C$10</f>
        <v>0.83</v>
        <v/>
      </c>
      <c r="I32" s="30">
        <f>$C$10</f>
        <v>0.83</v>
        <v/>
      </c>
      <c r="J32" s="30">
        <f>$C$10</f>
        <v>0.83</v>
        <v/>
      </c>
      <c r="K32" s="30">
        <f>$C$10</f>
        <v>0.83</v>
        <v/>
      </c>
      <c r="L32" s="30">
        <f>$C$10</f>
        <v>0.83</v>
        <v/>
      </c>
      <c r="M32" s="30">
        <f>$C$10</f>
        <v>0.83</v>
        <v/>
      </c>
      <c r="N32" s="30">
        <f>$C$10</f>
        <v>0.83</v>
        <v/>
      </c>
      <c r="O32" s="30">
        <f>$C$10</f>
        <v>0.83</v>
        <v/>
      </c>
      <c r="P32" s="30">
        <f>$C$10</f>
        <v>0.83</v>
        <v/>
      </c>
      <c r="Q32" s="31">
        <f>SUM(E32:P32)</f>
        <v>9.96</v>
        <v/>
      </c>
    </row>
    <row r="33">
      <c r="D33" s="6" t="inlineStr">
        <is>
          <t>Commissions Stripe</t>
        </is>
      </c>
      <c r="E33" s="30">
        <f>E25*$C$8+E22*$C$9</f>
        <v>0.0</v>
        <v/>
      </c>
      <c r="F33" s="30">
        <f>F25*$C$8+F22*$C$9</f>
        <v>0.0</v>
        <v/>
      </c>
      <c r="G33" s="30">
        <f>G25*$C$8+G22*$C$9</f>
        <v>0.0</v>
        <v/>
      </c>
      <c r="H33" s="30">
        <f>H25*$C$8+H22*$C$9</f>
        <v>0.0535</v>
        <v/>
      </c>
      <c r="I33" s="30">
        <f>I25*$C$8+I22*$C$9</f>
        <v>0.08025</v>
        <v/>
      </c>
      <c r="J33" s="30">
        <f>J25*$C$8+J22*$C$9</f>
        <v>0.1712</v>
        <v/>
      </c>
      <c r="K33" s="30">
        <f>K25*$C$8+K22*$C$9</f>
        <v>0.1712</v>
        <v/>
      </c>
      <c r="L33" s="30">
        <f>L25*$C$8+L22*$C$9</f>
        <v>0.2675</v>
        <v/>
      </c>
      <c r="M33" s="30">
        <f>M25*$C$8+M22*$C$9</f>
        <v>0.321</v>
        <v/>
      </c>
      <c r="N33" s="30">
        <f>N25*$C$8+N22*$C$9</f>
        <v>0.4494</v>
        <v/>
      </c>
      <c r="O33" s="30">
        <f>O25*$C$8+O22*$C$9</f>
        <v>0.5136</v>
        <v/>
      </c>
      <c r="P33" s="30">
        <f>P25*$C$8+P22*$C$9</f>
        <v>0.72225</v>
        <v/>
      </c>
      <c r="Q33" s="31">
        <f>SUM(E33:P33)</f>
        <v>2.7499</v>
        <v/>
      </c>
    </row>
    <row r="34">
      <c r="D34" s="12" t="inlineStr">
        <is>
          <t>Coûts totaux</t>
        </is>
      </c>
      <c r="E34" s="31">
        <f>SUM(E30:E33)</f>
        <v>0.83</v>
        <v/>
      </c>
      <c r="F34" s="31">
        <f>SUM(F30:F33)</f>
        <v>0.83</v>
        <v/>
      </c>
      <c r="G34" s="31">
        <f>SUM(G30:G33)</f>
        <v>0.83</v>
        <v/>
      </c>
      <c r="H34" s="31">
        <f>SUM(H30:H33)</f>
        <v>8.6335</v>
        <v/>
      </c>
      <c r="I34" s="31">
        <f>SUM(I30:I33)</f>
        <v>8.66025</v>
        <v/>
      </c>
      <c r="J34" s="31">
        <f>SUM(J30:J33)</f>
        <v>8.7512</v>
        <v/>
      </c>
      <c r="K34" s="31">
        <f>SUM(K30:K33)</f>
        <v>8.7512</v>
        <v/>
      </c>
      <c r="L34" s="31">
        <f>SUM(L30:L33)</f>
        <v>8.8475</v>
        <v/>
      </c>
      <c r="M34" s="31">
        <f>SUM(M30:M33)</f>
        <v>30.901</v>
        <v/>
      </c>
      <c r="N34" s="31">
        <f>SUM(N30:N33)</f>
        <v>31.0294</v>
        <v/>
      </c>
      <c r="O34" s="31">
        <f>SUM(O30:O33)</f>
        <v>31.0936</v>
        <v/>
      </c>
      <c r="P34" s="31">
        <f>SUM(P30:P33)</f>
        <v>31.30225</v>
        <v/>
      </c>
      <c r="Q34" s="31">
        <f>SUM(E34:P34)</f>
        <v>170.4599</v>
        <v/>
      </c>
    </row>
    <row r="35">
      <c r="D35" s="23" t="inlineStr">
        <is>
          <t>RÉSULTAT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  <row r="36">
      <c r="D36" s="12" t="inlineStr">
        <is>
          <t>Résultat net du mois</t>
        </is>
      </c>
      <c r="E36" s="31">
        <f>E28-E34</f>
        <v>0.97</v>
        <v/>
      </c>
      <c r="F36" s="31">
        <f>F28-F34</f>
        <v>0.97</v>
        <v/>
      </c>
      <c r="G36" s="31">
        <f>G28-G34</f>
        <v>2.77</v>
        <v/>
      </c>
      <c r="H36" s="31">
        <f>H28-H34</f>
        <v>-3.1335</v>
        <v/>
      </c>
      <c r="I36" s="31">
        <f>I28-I34</f>
        <v>-0.41025</v>
        <v/>
      </c>
      <c r="J36" s="31">
        <f>J28-J34</f>
        <v>4.5288</v>
        <v/>
      </c>
      <c r="K36" s="31">
        <f>K28-K34</f>
        <v>4.5288</v>
        <v/>
      </c>
      <c r="L36" s="31">
        <f>L28-L34</f>
        <v>9.6525</v>
        <v/>
      </c>
      <c r="M36" s="31">
        <f>M28-M34</f>
        <v>-8.701</v>
        <v/>
      </c>
      <c r="N36" s="31">
        <f>N28-N34</f>
        <v>-2.4694</v>
        <v/>
      </c>
      <c r="O36" s="31">
        <f>O28-O34</f>
        <v>1.5464</v>
        <v/>
      </c>
      <c r="P36" s="31">
        <f>P28-P34</f>
        <v>10.54775</v>
        <v/>
      </c>
      <c r="Q36" s="31">
        <f>SUM(E36:P36)</f>
        <v>20.8001</v>
        <v/>
      </c>
    </row>
    <row r="37">
      <c r="D37" s="6" t="inlineStr">
        <is>
          <t>Trésorerie cumulée</t>
        </is>
      </c>
      <c r="E37" s="36">
        <f>E36</f>
        <v>0.97</v>
        <v/>
      </c>
      <c r="F37" s="36">
        <f>E37+F36</f>
        <v>1.94</v>
        <v/>
      </c>
      <c r="G37" s="36">
        <f>F37+G36</f>
        <v>4.71</v>
        <v/>
      </c>
      <c r="H37" s="36">
        <f>G37+H36</f>
        <v>1.5765</v>
        <v/>
      </c>
      <c r="I37" s="36">
        <f>H37+I36</f>
        <v>1.16625</v>
        <v/>
      </c>
      <c r="J37" s="36">
        <f>I37+J36</f>
        <v>5.69505</v>
        <v/>
      </c>
      <c r="K37" s="36">
        <f>J37+K36</f>
        <v>10.22385</v>
        <v/>
      </c>
      <c r="L37" s="36">
        <f>K37+L36</f>
        <v>19.87635</v>
        <v/>
      </c>
      <c r="M37" s="36">
        <f>L37+M36</f>
        <v>11.17535</v>
        <v/>
      </c>
      <c r="N37" s="36">
        <f>M37+N36</f>
        <v>8.70595</v>
        <v/>
      </c>
      <c r="O37" s="36">
        <f>N37+O36</f>
        <v>10.25235</v>
        <v/>
      </c>
      <c r="P37" s="36">
        <f>O37+P36</f>
        <v>20.8001</v>
        <v/>
      </c>
    </row>
  </sheetData>
  <mergeCells count="1"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2" ht="30" customHeight="1">
      <c r="B2" s="14" t="inlineStr">
        <is>
          <t>Scénario réaliste — hypothèses et projection 12 mois</t>
        </is>
      </c>
    </row>
    <row r="4">
      <c r="B4" s="8" t="inlineStr">
        <is>
          <t>Paramètre</t>
        </is>
      </c>
      <c r="C4" s="8" t="inlineStr">
        <is>
          <t>Valeur</t>
        </is>
      </c>
      <c r="D4" s="8" t="inlineStr">
        <is>
          <t>Note</t>
        </is>
      </c>
    </row>
    <row r="5">
      <c r="B5" s="15" t="inlineStr">
        <is>
          <t>Prix abonnement premium (€/mois)</t>
        </is>
      </c>
      <c r="C5" s="16" t="n">
        <v>24</v>
      </c>
      <c r="D5" s="17" t="inlineStr">
        <is>
          <t>Milieu de fourchette 19-29 €</t>
        </is>
      </c>
    </row>
    <row r="6">
      <c r="B6" s="15" t="inlineStr">
        <is>
          <t>Frais par récompense débloquée (€)</t>
        </is>
      </c>
      <c r="C6" s="18" t="n">
        <v>0.3</v>
      </c>
      <c r="D6" s="17" t="inlineStr">
        <is>
          <t>Prélevé uniquement quand un client utilise sa récompense</t>
        </is>
      </c>
    </row>
    <row r="7">
      <c r="B7" s="15" t="inlineStr">
        <is>
          <t>Récompenses débloquées / restaurant actif / mois</t>
        </is>
      </c>
      <c r="C7" s="19" t="n">
        <v>12</v>
      </c>
      <c r="D7" s="17" t="inlineStr">
        <is>
          <t>Base clients en croissance</t>
        </is>
      </c>
    </row>
    <row r="8">
      <c r="B8" s="15" t="inlineStr">
        <is>
          <t>Commission Stripe variable (%)</t>
        </is>
      </c>
      <c r="C8" s="20" t="n">
        <v>0.015</v>
      </c>
      <c r="D8" s="17" t="inlineStr">
        <is>
          <t>Sur les abonnements encaissés</t>
        </is>
      </c>
    </row>
    <row r="9">
      <c r="B9" s="15" t="inlineStr">
        <is>
          <t>Commission Stripe fixe (€/abonné/mois)</t>
        </is>
      </c>
      <c r="C9" s="18" t="n">
        <v>0.25</v>
      </c>
      <c r="D9" s="17" t="inlineStr">
        <is>
          <t>Par restaurant premium facturé</t>
        </is>
      </c>
    </row>
    <row r="10">
      <c r="B10" s="15" t="inlineStr">
        <is>
          <t>Nom de domaine (€/mois)</t>
        </is>
      </c>
      <c r="C10" s="18" t="n">
        <v>0.83</v>
      </c>
      <c r="D10" s="17" t="inlineStr">
        <is>
          <t>~10 €/an lissés</t>
        </is>
      </c>
    </row>
    <row r="11">
      <c r="B11" s="15" t="inlineStr">
        <is>
          <t>Apple Developer (€/mois)</t>
        </is>
      </c>
      <c r="C11" s="18" t="n">
        <v>7.75</v>
      </c>
      <c r="D11" s="17" t="inlineStr">
        <is>
          <t>99 $/an ≈ 93 €/an, lissés</t>
        </is>
      </c>
    </row>
    <row r="12">
      <c r="B12" s="15" t="inlineStr">
        <is>
          <t>Mois d'activation Apple Developer</t>
        </is>
      </c>
      <c r="C12" s="19" t="n">
        <v>3</v>
      </c>
      <c r="D12" s="17" t="inlineStr">
        <is>
          <t>Wallet activé tôt</t>
        </is>
      </c>
    </row>
    <row r="13">
      <c r="B13" s="15" t="inlineStr">
        <is>
          <t>Infra au-delà des free tiers (€/mois)</t>
        </is>
      </c>
      <c r="C13" s="16" t="n">
        <v>30</v>
      </c>
      <c r="D13" s="17" t="inlineStr">
        <is>
          <t>Dépassement free tiers vers ~500 utilisateurs actifs</t>
        </is>
      </c>
    </row>
    <row r="14">
      <c r="B14" s="15" t="inlineStr">
        <is>
          <t>Mois de bascule infra payante</t>
        </is>
      </c>
      <c r="C14" s="19" t="n">
        <v>6</v>
      </c>
      <c r="D14" s="17" t="inlineStr">
        <is>
          <t>La courbe d'usage le justifie</t>
        </is>
      </c>
    </row>
    <row r="16">
      <c r="B16" s="3" t="inlineStr">
        <is>
          <t>Projection mensuelle</t>
        </is>
      </c>
    </row>
    <row r="17">
      <c r="D17" s="21" t="inlineStr">
        <is>
          <t>N° du mois</t>
        </is>
      </c>
      <c r="E17" s="22" t="n">
        <v>1</v>
      </c>
      <c r="F17" s="22" t="n">
        <v>2</v>
      </c>
      <c r="G17" s="22" t="n">
        <v>3</v>
      </c>
      <c r="H17" s="22" t="n">
        <v>4</v>
      </c>
      <c r="I17" s="22" t="n">
        <v>5</v>
      </c>
      <c r="J17" s="22" t="n">
        <v>6</v>
      </c>
      <c r="K17" s="22" t="n">
        <v>7</v>
      </c>
      <c r="L17" s="22" t="n">
        <v>8</v>
      </c>
      <c r="M17" s="22" t="n">
        <v>9</v>
      </c>
      <c r="N17" s="22" t="n">
        <v>10</v>
      </c>
      <c r="O17" s="22" t="n">
        <v>11</v>
      </c>
      <c r="P17" s="22" t="n">
        <v>12</v>
      </c>
    </row>
    <row r="18">
      <c r="D18" s="8" t="inlineStr">
        <is>
          <t>Ligne</t>
        </is>
      </c>
      <c r="E18" s="5" t="inlineStr">
        <is>
          <t>M1</t>
        </is>
      </c>
      <c r="F18" s="5" t="inlineStr">
        <is>
          <t>M2</t>
        </is>
      </c>
      <c r="G18" s="5" t="inlineStr">
        <is>
          <t>M3</t>
        </is>
      </c>
      <c r="H18" s="5" t="inlineStr">
        <is>
          <t>M4</t>
        </is>
      </c>
      <c r="I18" s="5" t="inlineStr">
        <is>
          <t>M5</t>
        </is>
      </c>
      <c r="J18" s="5" t="inlineStr">
        <is>
          <t>M6</t>
        </is>
      </c>
      <c r="K18" s="5" t="inlineStr">
        <is>
          <t>M7</t>
        </is>
      </c>
      <c r="L18" s="5" t="inlineStr">
        <is>
          <t>M8</t>
        </is>
      </c>
      <c r="M18" s="5" t="inlineStr">
        <is>
          <t>M9</t>
        </is>
      </c>
      <c r="N18" s="5" t="inlineStr">
        <is>
          <t>M10</t>
        </is>
      </c>
      <c r="O18" s="5" t="inlineStr">
        <is>
          <t>M11</t>
        </is>
      </c>
      <c r="P18" s="5" t="inlineStr">
        <is>
          <t>M12</t>
        </is>
      </c>
      <c r="Q18" s="5" t="inlineStr">
        <is>
          <t>Total</t>
        </is>
      </c>
    </row>
    <row r="19">
      <c r="D19" s="23" t="inlineStr">
        <is>
          <t>VOLUME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>
      <c r="D20" s="6" t="inlineStr">
        <is>
          <t>Restaurants actifs (saisie)</t>
        </is>
      </c>
      <c r="E20" s="25" t="n">
        <v>1</v>
      </c>
      <c r="F20" s="25" t="n">
        <v>2</v>
      </c>
      <c r="G20" s="25" t="n">
        <v>3</v>
      </c>
      <c r="H20" s="25" t="n">
        <v>5</v>
      </c>
      <c r="I20" s="25" t="n">
        <v>7</v>
      </c>
      <c r="J20" s="25" t="n">
        <v>10</v>
      </c>
      <c r="K20" s="25" t="n">
        <v>13</v>
      </c>
      <c r="L20" s="25" t="n">
        <v>16</v>
      </c>
      <c r="M20" s="25" t="n">
        <v>20</v>
      </c>
      <c r="N20" s="25" t="n">
        <v>25</v>
      </c>
      <c r="O20" s="25" t="n">
        <v>30</v>
      </c>
      <c r="P20" s="25" t="n">
        <v>38</v>
      </c>
      <c r="Q20" s="26">
        <f>P20</f>
        <v>38.0</v>
        <v/>
      </c>
    </row>
    <row r="21">
      <c r="D21" s="6" t="inlineStr">
        <is>
          <t>Taux de conversion premium (saisie)</t>
        </is>
      </c>
      <c r="E21" s="27" t="n">
        <v>0</v>
      </c>
      <c r="F21" s="27" t="n">
        <v>0</v>
      </c>
      <c r="G21" s="27" t="n">
        <v>0.05</v>
      </c>
      <c r="H21" s="27" t="n">
        <v>0.08</v>
      </c>
      <c r="I21" s="27" t="n">
        <v>0.1</v>
      </c>
      <c r="J21" s="27" t="n">
        <v>0.12</v>
      </c>
      <c r="K21" s="27" t="n">
        <v>0.15</v>
      </c>
      <c r="L21" s="27" t="n">
        <v>0.18</v>
      </c>
      <c r="M21" s="27" t="n">
        <v>0.2</v>
      </c>
      <c r="N21" s="27" t="n">
        <v>0.22</v>
      </c>
      <c r="O21" s="27" t="n">
        <v>0.25</v>
      </c>
      <c r="P21" s="27" t="n">
        <v>0.28</v>
      </c>
    </row>
    <row r="22">
      <c r="D22" s="6" t="inlineStr">
        <is>
          <t>Restaurants premium</t>
        </is>
      </c>
      <c r="E22" s="28">
        <f>E20*E21</f>
        <v>0.0</v>
        <v/>
      </c>
      <c r="F22" s="28">
        <f>F20*F21</f>
        <v>0.0</v>
        <v/>
      </c>
      <c r="G22" s="28">
        <f>G20*G21</f>
        <v>0.15</v>
        <v/>
      </c>
      <c r="H22" s="28">
        <f>H20*H21</f>
        <v>0.4</v>
        <v/>
      </c>
      <c r="I22" s="28">
        <f>I20*I21</f>
        <v>0.7</v>
        <v/>
      </c>
      <c r="J22" s="28">
        <f>J20*J21</f>
        <v>1.2</v>
        <v/>
      </c>
      <c r="K22" s="28">
        <f>K20*K21</f>
        <v>1.95</v>
        <v/>
      </c>
      <c r="L22" s="28">
        <f>L20*L21</f>
        <v>2.88</v>
        <v/>
      </c>
      <c r="M22" s="28">
        <f>M20*M21</f>
        <v>4.0</v>
        <v/>
      </c>
      <c r="N22" s="28">
        <f>N20*N21</f>
        <v>5.5</v>
        <v/>
      </c>
      <c r="O22" s="28">
        <f>O20*O21</f>
        <v>7.5</v>
        <v/>
      </c>
      <c r="P22" s="28">
        <f>P20*P21</f>
        <v>10.64</v>
        <v/>
      </c>
    </row>
    <row r="23">
      <c r="D23" s="6" t="inlineStr">
        <is>
          <t>Récompenses débloquées dans le mois</t>
        </is>
      </c>
      <c r="E23" s="29">
        <f>E20*$C$7</f>
        <v>12.0</v>
        <v/>
      </c>
      <c r="F23" s="29">
        <f>F20*$C$7</f>
        <v>24.0</v>
        <v/>
      </c>
      <c r="G23" s="29">
        <f>G20*$C$7</f>
        <v>36.0</v>
        <v/>
      </c>
      <c r="H23" s="29">
        <f>H20*$C$7</f>
        <v>60.0</v>
        <v/>
      </c>
      <c r="I23" s="29">
        <f>I20*$C$7</f>
        <v>84.0</v>
        <v/>
      </c>
      <c r="J23" s="29">
        <f>J20*$C$7</f>
        <v>120.0</v>
        <v/>
      </c>
      <c r="K23" s="29">
        <f>K20*$C$7</f>
        <v>156.0</v>
        <v/>
      </c>
      <c r="L23" s="29">
        <f>L20*$C$7</f>
        <v>192.0</v>
        <v/>
      </c>
      <c r="M23" s="29">
        <f>M20*$C$7</f>
        <v>240.0</v>
        <v/>
      </c>
      <c r="N23" s="29">
        <f>N20*$C$7</f>
        <v>300.0</v>
        <v/>
      </c>
      <c r="O23" s="29">
        <f>O20*$C$7</f>
        <v>360.0</v>
        <v/>
      </c>
      <c r="P23" s="29">
        <f>P20*$C$7</f>
        <v>456.0</v>
        <v/>
      </c>
      <c r="Q23" s="26">
        <f>SUM(E23:P23)</f>
        <v>2040.0</v>
        <v/>
      </c>
    </row>
    <row r="24">
      <c r="D24" s="23" t="inlineStr">
        <is>
          <t>REVENUS (€)</t>
        </is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D25" s="6" t="inlineStr">
        <is>
          <t>Abonnements premium</t>
        </is>
      </c>
      <c r="E25" s="30">
        <f>E22*$C$5</f>
        <v>0.0</v>
        <v/>
      </c>
      <c r="F25" s="30">
        <f>F22*$C$5</f>
        <v>0.0</v>
        <v/>
      </c>
      <c r="G25" s="30">
        <f>G22*$C$5</f>
        <v>3.6</v>
        <v/>
      </c>
      <c r="H25" s="30">
        <f>H22*$C$5</f>
        <v>9.6</v>
        <v/>
      </c>
      <c r="I25" s="30">
        <f>I22*$C$5</f>
        <v>16.8</v>
        <v/>
      </c>
      <c r="J25" s="30">
        <f>J22*$C$5</f>
        <v>28.8</v>
        <v/>
      </c>
      <c r="K25" s="30">
        <f>K22*$C$5</f>
        <v>46.8</v>
        <v/>
      </c>
      <c r="L25" s="30">
        <f>L22*$C$5</f>
        <v>69.12</v>
        <v/>
      </c>
      <c r="M25" s="30">
        <f>M22*$C$5</f>
        <v>96.0</v>
        <v/>
      </c>
      <c r="N25" s="30">
        <f>N22*$C$5</f>
        <v>132.0</v>
        <v/>
      </c>
      <c r="O25" s="30">
        <f>O22*$C$5</f>
        <v>180.0</v>
        <v/>
      </c>
      <c r="P25" s="30">
        <f>P22*$C$5</f>
        <v>255.36</v>
        <v/>
      </c>
      <c r="Q25" s="31">
        <f>SUM(E25:P25)</f>
        <v>838.08</v>
        <v/>
      </c>
    </row>
    <row r="26">
      <c r="D26" s="6" t="inlineStr">
        <is>
          <t>Frais sur récompenses débloquées</t>
        </is>
      </c>
      <c r="E26" s="30">
        <f>E23*$C$6</f>
        <v>3.6</v>
        <v/>
      </c>
      <c r="F26" s="30">
        <f>F23*$C$6</f>
        <v>7.2</v>
        <v/>
      </c>
      <c r="G26" s="30">
        <f>G23*$C$6</f>
        <v>10.8</v>
        <v/>
      </c>
      <c r="H26" s="30">
        <f>H23*$C$6</f>
        <v>18.0</v>
        <v/>
      </c>
      <c r="I26" s="30">
        <f>I23*$C$6</f>
        <v>25.2</v>
        <v/>
      </c>
      <c r="J26" s="30">
        <f>J23*$C$6</f>
        <v>36.0</v>
        <v/>
      </c>
      <c r="K26" s="30">
        <f>K23*$C$6</f>
        <v>46.8</v>
        <v/>
      </c>
      <c r="L26" s="30">
        <f>L23*$C$6</f>
        <v>57.6</v>
        <v/>
      </c>
      <c r="M26" s="30">
        <f>M23*$C$6</f>
        <v>72.0</v>
        <v/>
      </c>
      <c r="N26" s="30">
        <f>N23*$C$6</f>
        <v>90.0</v>
        <v/>
      </c>
      <c r="O26" s="30">
        <f>O23*$C$6</f>
        <v>108.0</v>
        <v/>
      </c>
      <c r="P26" s="30">
        <f>P23*$C$6</f>
        <v>136.8</v>
        <v/>
      </c>
      <c r="Q26" s="31">
        <f>SUM(E26:P26)</f>
        <v>612.0</v>
        <v/>
      </c>
    </row>
    <row r="27">
      <c r="D27" s="6" t="inlineStr">
        <is>
          <t>White-label / pub (saisie)</t>
        </is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500</v>
      </c>
      <c r="O27" s="32" t="n">
        <v>500</v>
      </c>
      <c r="P27" s="32" t="n">
        <v>500</v>
      </c>
      <c r="Q27" s="33">
        <f>SUM(E27:P27)</f>
        <v>1500.0</v>
        <v/>
      </c>
    </row>
    <row r="28">
      <c r="D28" s="34" t="inlineStr">
        <is>
          <t>CA total</t>
        </is>
      </c>
      <c r="E28" s="35">
        <f>SUM(E25:E27)</f>
        <v>3.6</v>
        <v/>
      </c>
      <c r="F28" s="35">
        <f>SUM(F25:F27)</f>
        <v>7.2</v>
        <v/>
      </c>
      <c r="G28" s="35">
        <f>SUM(G25:G27)</f>
        <v>14.4</v>
        <v/>
      </c>
      <c r="H28" s="35">
        <f>SUM(H25:H27)</f>
        <v>27.6</v>
        <v/>
      </c>
      <c r="I28" s="35">
        <f>SUM(I25:I27)</f>
        <v>42.0</v>
        <v/>
      </c>
      <c r="J28" s="35">
        <f>SUM(J25:J27)</f>
        <v>64.8</v>
        <v/>
      </c>
      <c r="K28" s="35">
        <f>SUM(K25:K27)</f>
        <v>93.6</v>
        <v/>
      </c>
      <c r="L28" s="35">
        <f>SUM(L25:L27)</f>
        <v>126.72</v>
        <v/>
      </c>
      <c r="M28" s="35">
        <f>SUM(M25:M27)</f>
        <v>168.0</v>
        <v/>
      </c>
      <c r="N28" s="35">
        <f>SUM(N25:N27)</f>
        <v>722.0</v>
        <v/>
      </c>
      <c r="O28" s="35">
        <f>SUM(O25:O27)</f>
        <v>788.0</v>
        <v/>
      </c>
      <c r="P28" s="35">
        <f>SUM(P25:P27)</f>
        <v>892.16</v>
        <v/>
      </c>
      <c r="Q28" s="35">
        <f>SUM(E28:P28)</f>
        <v>2950.08</v>
        <v/>
      </c>
    </row>
    <row r="29">
      <c r="D29" s="23" t="inlineStr">
        <is>
          <t>COÛTS (€)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>
      <c r="D30" s="6" t="inlineStr">
        <is>
          <t>Infra (hébergement, BDD, stockage)</t>
        </is>
      </c>
      <c r="E30" s="30">
        <f>IF(E$17&gt;=$C$14,$C$13,0)</f>
        <v>0.0</v>
        <v/>
      </c>
      <c r="F30" s="30">
        <f>IF(F$17&gt;=$C$14,$C$13,0)</f>
        <v>0.0</v>
        <v/>
      </c>
      <c r="G30" s="30">
        <f>IF(G$17&gt;=$C$14,$C$13,0)</f>
        <v>0.0</v>
        <v/>
      </c>
      <c r="H30" s="30">
        <f>IF(H$17&gt;=$C$14,$C$13,0)</f>
        <v>0.0</v>
        <v/>
      </c>
      <c r="I30" s="30">
        <f>IF(I$17&gt;=$C$14,$C$13,0)</f>
        <v>0.0</v>
        <v/>
      </c>
      <c r="J30" s="30">
        <f>IF(J$17&gt;=$C$14,$C$13,0)</f>
        <v>30.0</v>
        <v/>
      </c>
      <c r="K30" s="30">
        <f>IF(K$17&gt;=$C$14,$C$13,0)</f>
        <v>30.0</v>
        <v/>
      </c>
      <c r="L30" s="30">
        <f>IF(L$17&gt;=$C$14,$C$13,0)</f>
        <v>30.0</v>
        <v/>
      </c>
      <c r="M30" s="30">
        <f>IF(M$17&gt;=$C$14,$C$13,0)</f>
        <v>30.0</v>
        <v/>
      </c>
      <c r="N30" s="30">
        <f>IF(N$17&gt;=$C$14,$C$13,0)</f>
        <v>30.0</v>
        <v/>
      </c>
      <c r="O30" s="30">
        <f>IF(O$17&gt;=$C$14,$C$13,0)</f>
        <v>30.0</v>
        <v/>
      </c>
      <c r="P30" s="30">
        <f>IF(P$17&gt;=$C$14,$C$13,0)</f>
        <v>30.0</v>
        <v/>
      </c>
      <c r="Q30" s="31">
        <f>SUM(E30:P30)</f>
        <v>210.0</v>
        <v/>
      </c>
    </row>
    <row r="31">
      <c r="D31" s="6" t="inlineStr">
        <is>
          <t>Apple Developer</t>
        </is>
      </c>
      <c r="E31" s="30">
        <f>IF(E$17&gt;=$C$12,$C$11,0)</f>
        <v>0.0</v>
        <v/>
      </c>
      <c r="F31" s="30">
        <f>IF(F$17&gt;=$C$12,$C$11,0)</f>
        <v>0.0</v>
        <v/>
      </c>
      <c r="G31" s="30">
        <f>IF(G$17&gt;=$C$12,$C$11,0)</f>
        <v>7.75</v>
        <v/>
      </c>
      <c r="H31" s="30">
        <f>IF(H$17&gt;=$C$12,$C$11,0)</f>
        <v>7.75</v>
        <v/>
      </c>
      <c r="I31" s="30">
        <f>IF(I$17&gt;=$C$12,$C$11,0)</f>
        <v>7.75</v>
        <v/>
      </c>
      <c r="J31" s="30">
        <f>IF(J$17&gt;=$C$12,$C$11,0)</f>
        <v>7.75</v>
        <v/>
      </c>
      <c r="K31" s="30">
        <f>IF(K$17&gt;=$C$12,$C$11,0)</f>
        <v>7.75</v>
        <v/>
      </c>
      <c r="L31" s="30">
        <f>IF(L$17&gt;=$C$12,$C$11,0)</f>
        <v>7.75</v>
        <v/>
      </c>
      <c r="M31" s="30">
        <f>IF(M$17&gt;=$C$12,$C$11,0)</f>
        <v>7.75</v>
        <v/>
      </c>
      <c r="N31" s="30">
        <f>IF(N$17&gt;=$C$12,$C$11,0)</f>
        <v>7.75</v>
        <v/>
      </c>
      <c r="O31" s="30">
        <f>IF(O$17&gt;=$C$12,$C$11,0)</f>
        <v>7.75</v>
        <v/>
      </c>
      <c r="P31" s="30">
        <f>IF(P$17&gt;=$C$12,$C$11,0)</f>
        <v>7.75</v>
        <v/>
      </c>
      <c r="Q31" s="31">
        <f>SUM(E31:P31)</f>
        <v>77.5</v>
        <v/>
      </c>
    </row>
    <row r="32">
      <c r="D32" s="6" t="inlineStr">
        <is>
          <t>Nom de domaine</t>
        </is>
      </c>
      <c r="E32" s="30">
        <f>$C$10</f>
        <v>0.83</v>
        <v/>
      </c>
      <c r="F32" s="30">
        <f>$C$10</f>
        <v>0.83</v>
        <v/>
      </c>
      <c r="G32" s="30">
        <f>$C$10</f>
        <v>0.83</v>
        <v/>
      </c>
      <c r="H32" s="30">
        <f>$C$10</f>
        <v>0.83</v>
        <v/>
      </c>
      <c r="I32" s="30">
        <f>$C$10</f>
        <v>0.83</v>
        <v/>
      </c>
      <c r="J32" s="30">
        <f>$C$10</f>
        <v>0.83</v>
        <v/>
      </c>
      <c r="K32" s="30">
        <f>$C$10</f>
        <v>0.83</v>
        <v/>
      </c>
      <c r="L32" s="30">
        <f>$C$10</f>
        <v>0.83</v>
        <v/>
      </c>
      <c r="M32" s="30">
        <f>$C$10</f>
        <v>0.83</v>
        <v/>
      </c>
      <c r="N32" s="30">
        <f>$C$10</f>
        <v>0.83</v>
        <v/>
      </c>
      <c r="O32" s="30">
        <f>$C$10</f>
        <v>0.83</v>
        <v/>
      </c>
      <c r="P32" s="30">
        <f>$C$10</f>
        <v>0.83</v>
        <v/>
      </c>
      <c r="Q32" s="31">
        <f>SUM(E32:P32)</f>
        <v>9.96</v>
        <v/>
      </c>
    </row>
    <row r="33">
      <c r="D33" s="6" t="inlineStr">
        <is>
          <t>Commissions Stripe</t>
        </is>
      </c>
      <c r="E33" s="30">
        <f>E25*$C$8+E22*$C$9</f>
        <v>0.0</v>
        <v/>
      </c>
      <c r="F33" s="30">
        <f>F25*$C$8+F22*$C$9</f>
        <v>0.0</v>
        <v/>
      </c>
      <c r="G33" s="30">
        <f>G25*$C$8+G22*$C$9</f>
        <v>0.0915</v>
        <v/>
      </c>
      <c r="H33" s="30">
        <f>H25*$C$8+H22*$C$9</f>
        <v>0.244</v>
        <v/>
      </c>
      <c r="I33" s="30">
        <f>I25*$C$8+I22*$C$9</f>
        <v>0.427</v>
        <v/>
      </c>
      <c r="J33" s="30">
        <f>J25*$C$8+J22*$C$9</f>
        <v>0.732</v>
        <v/>
      </c>
      <c r="K33" s="30">
        <f>K25*$C$8+K22*$C$9</f>
        <v>1.1895</v>
        <v/>
      </c>
      <c r="L33" s="30">
        <f>L25*$C$8+L22*$C$9</f>
        <v>1.7568</v>
        <v/>
      </c>
      <c r="M33" s="30">
        <f>M25*$C$8+M22*$C$9</f>
        <v>2.44</v>
        <v/>
      </c>
      <c r="N33" s="30">
        <f>N25*$C$8+N22*$C$9</f>
        <v>3.355</v>
        <v/>
      </c>
      <c r="O33" s="30">
        <f>O25*$C$8+O22*$C$9</f>
        <v>4.575</v>
        <v/>
      </c>
      <c r="P33" s="30">
        <f>P25*$C$8+P22*$C$9</f>
        <v>6.4904</v>
        <v/>
      </c>
      <c r="Q33" s="31">
        <f>SUM(E33:P33)</f>
        <v>21.3012</v>
        <v/>
      </c>
    </row>
    <row r="34">
      <c r="D34" s="12" t="inlineStr">
        <is>
          <t>Coûts totaux</t>
        </is>
      </c>
      <c r="E34" s="31">
        <f>SUM(E30:E33)</f>
        <v>0.83</v>
        <v/>
      </c>
      <c r="F34" s="31">
        <f>SUM(F30:F33)</f>
        <v>0.83</v>
        <v/>
      </c>
      <c r="G34" s="31">
        <f>SUM(G30:G33)</f>
        <v>8.6715</v>
        <v/>
      </c>
      <c r="H34" s="31">
        <f>SUM(H30:H33)</f>
        <v>8.824</v>
        <v/>
      </c>
      <c r="I34" s="31">
        <f>SUM(I30:I33)</f>
        <v>9.007</v>
        <v/>
      </c>
      <c r="J34" s="31">
        <f>SUM(J30:J33)</f>
        <v>39.312</v>
        <v/>
      </c>
      <c r="K34" s="31">
        <f>SUM(K30:K33)</f>
        <v>39.7695</v>
        <v/>
      </c>
      <c r="L34" s="31">
        <f>SUM(L30:L33)</f>
        <v>40.3368</v>
        <v/>
      </c>
      <c r="M34" s="31">
        <f>SUM(M30:M33)</f>
        <v>41.02</v>
        <v/>
      </c>
      <c r="N34" s="31">
        <f>SUM(N30:N33)</f>
        <v>41.935</v>
        <v/>
      </c>
      <c r="O34" s="31">
        <f>SUM(O30:O33)</f>
        <v>43.155</v>
        <v/>
      </c>
      <c r="P34" s="31">
        <f>SUM(P30:P33)</f>
        <v>45.0704</v>
        <v/>
      </c>
      <c r="Q34" s="31">
        <f>SUM(E34:P34)</f>
        <v>318.7612</v>
        <v/>
      </c>
    </row>
    <row r="35">
      <c r="D35" s="23" t="inlineStr">
        <is>
          <t>RÉSULTAT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  <row r="36">
      <c r="D36" s="12" t="inlineStr">
        <is>
          <t>Résultat net du mois</t>
        </is>
      </c>
      <c r="E36" s="31">
        <f>E28-E34</f>
        <v>2.77</v>
        <v/>
      </c>
      <c r="F36" s="31">
        <f>F28-F34</f>
        <v>6.37</v>
        <v/>
      </c>
      <c r="G36" s="31">
        <f>G28-G34</f>
        <v>5.7285</v>
        <v/>
      </c>
      <c r="H36" s="31">
        <f>H28-H34</f>
        <v>18.776</v>
        <v/>
      </c>
      <c r="I36" s="31">
        <f>I28-I34</f>
        <v>32.993</v>
        <v/>
      </c>
      <c r="J36" s="31">
        <f>J28-J34</f>
        <v>25.488</v>
        <v/>
      </c>
      <c r="K36" s="31">
        <f>K28-K34</f>
        <v>53.8305</v>
        <v/>
      </c>
      <c r="L36" s="31">
        <f>L28-L34</f>
        <v>86.3832</v>
        <v/>
      </c>
      <c r="M36" s="31">
        <f>M28-M34</f>
        <v>126.98</v>
        <v/>
      </c>
      <c r="N36" s="31">
        <f>N28-N34</f>
        <v>680.065</v>
        <v/>
      </c>
      <c r="O36" s="31">
        <f>O28-O34</f>
        <v>744.845</v>
        <v/>
      </c>
      <c r="P36" s="31">
        <f>P28-P34</f>
        <v>847.0896</v>
        <v/>
      </c>
      <c r="Q36" s="31">
        <f>SUM(E36:P36)</f>
        <v>2631.3188</v>
        <v/>
      </c>
    </row>
    <row r="37">
      <c r="D37" s="6" t="inlineStr">
        <is>
          <t>Trésorerie cumulée</t>
        </is>
      </c>
      <c r="E37" s="36">
        <f>E36</f>
        <v>2.77</v>
        <v/>
      </c>
      <c r="F37" s="36">
        <f>E37+F36</f>
        <v>9.14</v>
        <v/>
      </c>
      <c r="G37" s="36">
        <f>F37+G36</f>
        <v>14.8685</v>
        <v/>
      </c>
      <c r="H37" s="36">
        <f>G37+H36</f>
        <v>33.6445</v>
        <v/>
      </c>
      <c r="I37" s="36">
        <f>H37+I36</f>
        <v>66.6375</v>
        <v/>
      </c>
      <c r="J37" s="36">
        <f>I37+J36</f>
        <v>92.1255</v>
        <v/>
      </c>
      <c r="K37" s="36">
        <f>J37+K36</f>
        <v>145.956</v>
        <v/>
      </c>
      <c r="L37" s="36">
        <f>K37+L36</f>
        <v>232.3392</v>
        <v/>
      </c>
      <c r="M37" s="36">
        <f>L37+M36</f>
        <v>359.3192</v>
        <v/>
      </c>
      <c r="N37" s="36">
        <f>M37+N36</f>
        <v>1039.3842</v>
        <v/>
      </c>
      <c r="O37" s="36">
        <f>N37+O36</f>
        <v>1784.2292</v>
        <v/>
      </c>
      <c r="P37" s="36">
        <f>O37+P36</f>
        <v>2631.3188</v>
        <v/>
      </c>
    </row>
  </sheetData>
  <mergeCells count="1"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2" ht="30" customHeight="1">
      <c r="B2" s="14" t="inlineStr">
        <is>
          <t>Scénario ambitieux — hypothèses et projection 12 mois</t>
        </is>
      </c>
    </row>
    <row r="4">
      <c r="B4" s="8" t="inlineStr">
        <is>
          <t>Paramètre</t>
        </is>
      </c>
      <c r="C4" s="8" t="inlineStr">
        <is>
          <t>Valeur</t>
        </is>
      </c>
      <c r="D4" s="8" t="inlineStr">
        <is>
          <t>Note</t>
        </is>
      </c>
    </row>
    <row r="5">
      <c r="B5" s="15" t="inlineStr">
        <is>
          <t>Prix abonnement premium (€/mois)</t>
        </is>
      </c>
      <c r="C5" s="16" t="n">
        <v>29</v>
      </c>
      <c r="D5" s="17" t="inlineStr">
        <is>
          <t>Haut de fourchette, services inclus (photoshoot…)</t>
        </is>
      </c>
    </row>
    <row r="6">
      <c r="B6" s="15" t="inlineStr">
        <is>
          <t>Frais par récompense débloquée (€)</t>
        </is>
      </c>
      <c r="C6" s="18" t="n">
        <v>0.3</v>
      </c>
      <c r="D6" s="17" t="inlineStr">
        <is>
          <t>Prélevé uniquement quand un client utilise sa récompense</t>
        </is>
      </c>
    </row>
    <row r="7">
      <c r="B7" s="15" t="inlineStr">
        <is>
          <t>Récompenses débloquées / restaurant actif / mois</t>
        </is>
      </c>
      <c r="C7" s="19" t="n">
        <v>20</v>
      </c>
      <c r="D7" s="17" t="inlineStr">
        <is>
          <t>Usage intensif, FOODSHARE actif</t>
        </is>
      </c>
    </row>
    <row r="8">
      <c r="B8" s="15" t="inlineStr">
        <is>
          <t>Commission Stripe variable (%)</t>
        </is>
      </c>
      <c r="C8" s="20" t="n">
        <v>0.015</v>
      </c>
      <c r="D8" s="17" t="inlineStr">
        <is>
          <t>Sur les abonnements encaissés</t>
        </is>
      </c>
    </row>
    <row r="9">
      <c r="B9" s="15" t="inlineStr">
        <is>
          <t>Commission Stripe fixe (€/abonné/mois)</t>
        </is>
      </c>
      <c r="C9" s="18" t="n">
        <v>0.25</v>
      </c>
      <c r="D9" s="17" t="inlineStr">
        <is>
          <t>Par restaurant premium facturé</t>
        </is>
      </c>
    </row>
    <row r="10">
      <c r="B10" s="15" t="inlineStr">
        <is>
          <t>Nom de domaine (€/mois)</t>
        </is>
      </c>
      <c r="C10" s="18" t="n">
        <v>0.83</v>
      </c>
      <c r="D10" s="17" t="inlineStr">
        <is>
          <t>~10 €/an lissés</t>
        </is>
      </c>
    </row>
    <row r="11">
      <c r="B11" s="15" t="inlineStr">
        <is>
          <t>Apple Developer (€/mois)</t>
        </is>
      </c>
      <c r="C11" s="18" t="n">
        <v>7.75</v>
      </c>
      <c r="D11" s="17" t="inlineStr">
        <is>
          <t>99 $/an ≈ 93 €/an, lissés</t>
        </is>
      </c>
    </row>
    <row r="12">
      <c r="B12" s="15" t="inlineStr">
        <is>
          <t>Mois d'activation Apple Developer</t>
        </is>
      </c>
      <c r="C12" s="19" t="n">
        <v>2</v>
      </c>
      <c r="D12" s="17" t="inlineStr">
        <is>
          <t>Wallet dès le début</t>
        </is>
      </c>
    </row>
    <row r="13">
      <c r="B13" s="15" t="inlineStr">
        <is>
          <t>Infra au-delà des free tiers (€/mois)</t>
        </is>
      </c>
      <c r="C13" s="16" t="n">
        <v>45</v>
      </c>
      <c r="D13" s="17" t="inlineStr">
        <is>
          <t>Pic d'usage + stockage images</t>
        </is>
      </c>
    </row>
    <row r="14">
      <c r="B14" s="15" t="inlineStr">
        <is>
          <t>Mois de bascule infra payante</t>
        </is>
      </c>
      <c r="C14" s="19" t="n">
        <v>4</v>
      </c>
      <c r="D14" s="17" t="inlineStr">
        <is>
          <t>Trafic précoce</t>
        </is>
      </c>
    </row>
    <row r="16">
      <c r="B16" s="3" t="inlineStr">
        <is>
          <t>Projection mensuelle</t>
        </is>
      </c>
    </row>
    <row r="17">
      <c r="D17" s="21" t="inlineStr">
        <is>
          <t>N° du mois</t>
        </is>
      </c>
      <c r="E17" s="22" t="n">
        <v>1</v>
      </c>
      <c r="F17" s="22" t="n">
        <v>2</v>
      </c>
      <c r="G17" s="22" t="n">
        <v>3</v>
      </c>
      <c r="H17" s="22" t="n">
        <v>4</v>
      </c>
      <c r="I17" s="22" t="n">
        <v>5</v>
      </c>
      <c r="J17" s="22" t="n">
        <v>6</v>
      </c>
      <c r="K17" s="22" t="n">
        <v>7</v>
      </c>
      <c r="L17" s="22" t="n">
        <v>8</v>
      </c>
      <c r="M17" s="22" t="n">
        <v>9</v>
      </c>
      <c r="N17" s="22" t="n">
        <v>10</v>
      </c>
      <c r="O17" s="22" t="n">
        <v>11</v>
      </c>
      <c r="P17" s="22" t="n">
        <v>12</v>
      </c>
    </row>
    <row r="18">
      <c r="D18" s="8" t="inlineStr">
        <is>
          <t>Ligne</t>
        </is>
      </c>
      <c r="E18" s="5" t="inlineStr">
        <is>
          <t>M1</t>
        </is>
      </c>
      <c r="F18" s="5" t="inlineStr">
        <is>
          <t>M2</t>
        </is>
      </c>
      <c r="G18" s="5" t="inlineStr">
        <is>
          <t>M3</t>
        </is>
      </c>
      <c r="H18" s="5" t="inlineStr">
        <is>
          <t>M4</t>
        </is>
      </c>
      <c r="I18" s="5" t="inlineStr">
        <is>
          <t>M5</t>
        </is>
      </c>
      <c r="J18" s="5" t="inlineStr">
        <is>
          <t>M6</t>
        </is>
      </c>
      <c r="K18" s="5" t="inlineStr">
        <is>
          <t>M7</t>
        </is>
      </c>
      <c r="L18" s="5" t="inlineStr">
        <is>
          <t>M8</t>
        </is>
      </c>
      <c r="M18" s="5" t="inlineStr">
        <is>
          <t>M9</t>
        </is>
      </c>
      <c r="N18" s="5" t="inlineStr">
        <is>
          <t>M10</t>
        </is>
      </c>
      <c r="O18" s="5" t="inlineStr">
        <is>
          <t>M11</t>
        </is>
      </c>
      <c r="P18" s="5" t="inlineStr">
        <is>
          <t>M12</t>
        </is>
      </c>
      <c r="Q18" s="5" t="inlineStr">
        <is>
          <t>Total</t>
        </is>
      </c>
    </row>
    <row r="19">
      <c r="D19" s="23" t="inlineStr">
        <is>
          <t>VOLUME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>
      <c r="D20" s="6" t="inlineStr">
        <is>
          <t>Restaurants actifs (saisie)</t>
        </is>
      </c>
      <c r="E20" s="25" t="n">
        <v>2</v>
      </c>
      <c r="F20" s="25" t="n">
        <v>4</v>
      </c>
      <c r="G20" s="25" t="n">
        <v>7</v>
      </c>
      <c r="H20" s="25" t="n">
        <v>12</v>
      </c>
      <c r="I20" s="25" t="n">
        <v>18</v>
      </c>
      <c r="J20" s="25" t="n">
        <v>26</v>
      </c>
      <c r="K20" s="25" t="n">
        <v>36</v>
      </c>
      <c r="L20" s="25" t="n">
        <v>48</v>
      </c>
      <c r="M20" s="25" t="n">
        <v>62</v>
      </c>
      <c r="N20" s="25" t="n">
        <v>80</v>
      </c>
      <c r="O20" s="25" t="n">
        <v>100</v>
      </c>
      <c r="P20" s="25" t="n">
        <v>125</v>
      </c>
      <c r="Q20" s="26">
        <f>P20</f>
        <v>125.0</v>
        <v/>
      </c>
    </row>
    <row r="21">
      <c r="D21" s="6" t="inlineStr">
        <is>
          <t>Taux de conversion premium (saisie)</t>
        </is>
      </c>
      <c r="E21" s="27" t="n">
        <v>0</v>
      </c>
      <c r="F21" s="27" t="n">
        <v>0.05</v>
      </c>
      <c r="G21" s="27" t="n">
        <v>0.08</v>
      </c>
      <c r="H21" s="27" t="n">
        <v>0.12</v>
      </c>
      <c r="I21" s="27" t="n">
        <v>0.15</v>
      </c>
      <c r="J21" s="27" t="n">
        <v>0.18</v>
      </c>
      <c r="K21" s="27" t="n">
        <v>0.22</v>
      </c>
      <c r="L21" s="27" t="n">
        <v>0.25</v>
      </c>
      <c r="M21" s="27" t="n">
        <v>0.28</v>
      </c>
      <c r="N21" s="27" t="n">
        <v>0.32</v>
      </c>
      <c r="O21" s="27" t="n">
        <v>0.35</v>
      </c>
      <c r="P21" s="27" t="n">
        <v>0.38</v>
      </c>
    </row>
    <row r="22">
      <c r="D22" s="6" t="inlineStr">
        <is>
          <t>Restaurants premium</t>
        </is>
      </c>
      <c r="E22" s="28">
        <f>E20*E21</f>
        <v>0.0</v>
        <v/>
      </c>
      <c r="F22" s="28">
        <f>F20*F21</f>
        <v>0.2</v>
        <v/>
      </c>
      <c r="G22" s="28">
        <f>G20*G21</f>
        <v>0.56</v>
        <v/>
      </c>
      <c r="H22" s="28">
        <f>H20*H21</f>
        <v>1.44</v>
        <v/>
      </c>
      <c r="I22" s="28">
        <f>I20*I21</f>
        <v>2.7</v>
        <v/>
      </c>
      <c r="J22" s="28">
        <f>J20*J21</f>
        <v>4.68</v>
        <v/>
      </c>
      <c r="K22" s="28">
        <f>K20*K21</f>
        <v>7.92</v>
        <v/>
      </c>
      <c r="L22" s="28">
        <f>L20*L21</f>
        <v>12.0</v>
        <v/>
      </c>
      <c r="M22" s="28">
        <f>M20*M21</f>
        <v>17.36</v>
        <v/>
      </c>
      <c r="N22" s="28">
        <f>N20*N21</f>
        <v>25.6</v>
        <v/>
      </c>
      <c r="O22" s="28">
        <f>O20*O21</f>
        <v>35.0</v>
        <v/>
      </c>
      <c r="P22" s="28">
        <f>P20*P21</f>
        <v>47.5</v>
        <v/>
      </c>
    </row>
    <row r="23">
      <c r="D23" s="6" t="inlineStr">
        <is>
          <t>Récompenses débloquées dans le mois</t>
        </is>
      </c>
      <c r="E23" s="29">
        <f>E20*$C$7</f>
        <v>40.0</v>
        <v/>
      </c>
      <c r="F23" s="29">
        <f>F20*$C$7</f>
        <v>80.0</v>
        <v/>
      </c>
      <c r="G23" s="29">
        <f>G20*$C$7</f>
        <v>140.0</v>
        <v/>
      </c>
      <c r="H23" s="29">
        <f>H20*$C$7</f>
        <v>240.0</v>
        <v/>
      </c>
      <c r="I23" s="29">
        <f>I20*$C$7</f>
        <v>360.0</v>
        <v/>
      </c>
      <c r="J23" s="29">
        <f>J20*$C$7</f>
        <v>520.0</v>
        <v/>
      </c>
      <c r="K23" s="29">
        <f>K20*$C$7</f>
        <v>720.0</v>
        <v/>
      </c>
      <c r="L23" s="29">
        <f>L20*$C$7</f>
        <v>960.0</v>
        <v/>
      </c>
      <c r="M23" s="29">
        <f>M20*$C$7</f>
        <v>1240.0</v>
        <v/>
      </c>
      <c r="N23" s="29">
        <f>N20*$C$7</f>
        <v>1600.0</v>
        <v/>
      </c>
      <c r="O23" s="29">
        <f>O20*$C$7</f>
        <v>2000.0</v>
        <v/>
      </c>
      <c r="P23" s="29">
        <f>P20*$C$7</f>
        <v>2500.0</v>
        <v/>
      </c>
      <c r="Q23" s="26">
        <f>SUM(E23:P23)</f>
        <v>10400.0</v>
        <v/>
      </c>
    </row>
    <row r="24">
      <c r="D24" s="23" t="inlineStr">
        <is>
          <t>REVENUS (€)</t>
        </is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D25" s="6" t="inlineStr">
        <is>
          <t>Abonnements premium</t>
        </is>
      </c>
      <c r="E25" s="30">
        <f>E22*$C$5</f>
        <v>0.0</v>
        <v/>
      </c>
      <c r="F25" s="30">
        <f>F22*$C$5</f>
        <v>5.8</v>
        <v/>
      </c>
      <c r="G25" s="30">
        <f>G22*$C$5</f>
        <v>16.24</v>
        <v/>
      </c>
      <c r="H25" s="30">
        <f>H22*$C$5</f>
        <v>41.76</v>
        <v/>
      </c>
      <c r="I25" s="30">
        <f>I22*$C$5</f>
        <v>78.3</v>
        <v/>
      </c>
      <c r="J25" s="30">
        <f>J22*$C$5</f>
        <v>135.72</v>
        <v/>
      </c>
      <c r="K25" s="30">
        <f>K22*$C$5</f>
        <v>229.68</v>
        <v/>
      </c>
      <c r="L25" s="30">
        <f>L22*$C$5</f>
        <v>348.0</v>
        <v/>
      </c>
      <c r="M25" s="30">
        <f>M22*$C$5</f>
        <v>503.44</v>
        <v/>
      </c>
      <c r="N25" s="30">
        <f>N22*$C$5</f>
        <v>742.4</v>
        <v/>
      </c>
      <c r="O25" s="30">
        <f>O22*$C$5</f>
        <v>1015.0</v>
        <v/>
      </c>
      <c r="P25" s="30">
        <f>P22*$C$5</f>
        <v>1377.5</v>
        <v/>
      </c>
      <c r="Q25" s="31">
        <f>SUM(E25:P25)</f>
        <v>4493.84</v>
        <v/>
      </c>
    </row>
    <row r="26">
      <c r="D26" s="6" t="inlineStr">
        <is>
          <t>Frais sur récompenses débloquées</t>
        </is>
      </c>
      <c r="E26" s="30">
        <f>E23*$C$6</f>
        <v>12.0</v>
        <v/>
      </c>
      <c r="F26" s="30">
        <f>F23*$C$6</f>
        <v>24.0</v>
        <v/>
      </c>
      <c r="G26" s="30">
        <f>G23*$C$6</f>
        <v>42.0</v>
        <v/>
      </c>
      <c r="H26" s="30">
        <f>H23*$C$6</f>
        <v>72.0</v>
        <v/>
      </c>
      <c r="I26" s="30">
        <f>I23*$C$6</f>
        <v>108.0</v>
        <v/>
      </c>
      <c r="J26" s="30">
        <f>J23*$C$6</f>
        <v>156.0</v>
        <v/>
      </c>
      <c r="K26" s="30">
        <f>K23*$C$6</f>
        <v>216.0</v>
        <v/>
      </c>
      <c r="L26" s="30">
        <f>L23*$C$6</f>
        <v>288.0</v>
        <v/>
      </c>
      <c r="M26" s="30">
        <f>M23*$C$6</f>
        <v>372.0</v>
        <v/>
      </c>
      <c r="N26" s="30">
        <f>N23*$C$6</f>
        <v>480.0</v>
        <v/>
      </c>
      <c r="O26" s="30">
        <f>O23*$C$6</f>
        <v>600.0</v>
        <v/>
      </c>
      <c r="P26" s="30">
        <f>P23*$C$6</f>
        <v>750.0</v>
        <v/>
      </c>
      <c r="Q26" s="31">
        <f>SUM(E26:P26)</f>
        <v>3120.0</v>
        <v/>
      </c>
    </row>
    <row r="27">
      <c r="D27" s="6" t="inlineStr">
        <is>
          <t>White-label / pub (saisie)</t>
        </is>
      </c>
      <c r="E27" s="32" t="n">
        <v>0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500</v>
      </c>
      <c r="K27" s="32" t="n">
        <v>1000</v>
      </c>
      <c r="L27" s="32" t="n">
        <v>1000</v>
      </c>
      <c r="M27" s="32" t="n">
        <v>1500</v>
      </c>
      <c r="N27" s="32" t="n">
        <v>1500</v>
      </c>
      <c r="O27" s="32" t="n">
        <v>2000</v>
      </c>
      <c r="P27" s="32" t="n">
        <v>2000</v>
      </c>
      <c r="Q27" s="33">
        <f>SUM(E27:P27)</f>
        <v>9500.0</v>
        <v/>
      </c>
    </row>
    <row r="28">
      <c r="D28" s="34" t="inlineStr">
        <is>
          <t>CA total</t>
        </is>
      </c>
      <c r="E28" s="35">
        <f>SUM(E25:E27)</f>
        <v>12.0</v>
        <v/>
      </c>
      <c r="F28" s="35">
        <f>SUM(F25:F27)</f>
        <v>29.8</v>
        <v/>
      </c>
      <c r="G28" s="35">
        <f>SUM(G25:G27)</f>
        <v>58.24</v>
        <v/>
      </c>
      <c r="H28" s="35">
        <f>SUM(H25:H27)</f>
        <v>113.76</v>
        <v/>
      </c>
      <c r="I28" s="35">
        <f>SUM(I25:I27)</f>
        <v>186.3</v>
        <v/>
      </c>
      <c r="J28" s="35">
        <f>SUM(J25:J27)</f>
        <v>791.72</v>
        <v/>
      </c>
      <c r="K28" s="35">
        <f>SUM(K25:K27)</f>
        <v>1445.68</v>
        <v/>
      </c>
      <c r="L28" s="35">
        <f>SUM(L25:L27)</f>
        <v>1636.0</v>
        <v/>
      </c>
      <c r="M28" s="35">
        <f>SUM(M25:M27)</f>
        <v>2375.44</v>
        <v/>
      </c>
      <c r="N28" s="35">
        <f>SUM(N25:N27)</f>
        <v>2722.4</v>
        <v/>
      </c>
      <c r="O28" s="35">
        <f>SUM(O25:O27)</f>
        <v>3615.0</v>
        <v/>
      </c>
      <c r="P28" s="35">
        <f>SUM(P25:P27)</f>
        <v>4127.5</v>
        <v/>
      </c>
      <c r="Q28" s="35">
        <f>SUM(E28:P28)</f>
        <v>17113.84</v>
        <v/>
      </c>
    </row>
    <row r="29">
      <c r="D29" s="23" t="inlineStr">
        <is>
          <t>COÛTS (€)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>
      <c r="D30" s="6" t="inlineStr">
        <is>
          <t>Infra (hébergement, BDD, stockage)</t>
        </is>
      </c>
      <c r="E30" s="30">
        <f>IF(E$17&gt;=$C$14,$C$13,0)</f>
        <v>0.0</v>
        <v/>
      </c>
      <c r="F30" s="30">
        <f>IF(F$17&gt;=$C$14,$C$13,0)</f>
        <v>0.0</v>
        <v/>
      </c>
      <c r="G30" s="30">
        <f>IF(G$17&gt;=$C$14,$C$13,0)</f>
        <v>0.0</v>
        <v/>
      </c>
      <c r="H30" s="30">
        <f>IF(H$17&gt;=$C$14,$C$13,0)</f>
        <v>45.0</v>
        <v/>
      </c>
      <c r="I30" s="30">
        <f>IF(I$17&gt;=$C$14,$C$13,0)</f>
        <v>45.0</v>
        <v/>
      </c>
      <c r="J30" s="30">
        <f>IF(J$17&gt;=$C$14,$C$13,0)</f>
        <v>45.0</v>
        <v/>
      </c>
      <c r="K30" s="30">
        <f>IF(K$17&gt;=$C$14,$C$13,0)</f>
        <v>45.0</v>
        <v/>
      </c>
      <c r="L30" s="30">
        <f>IF(L$17&gt;=$C$14,$C$13,0)</f>
        <v>45.0</v>
        <v/>
      </c>
      <c r="M30" s="30">
        <f>IF(M$17&gt;=$C$14,$C$13,0)</f>
        <v>45.0</v>
        <v/>
      </c>
      <c r="N30" s="30">
        <f>IF(N$17&gt;=$C$14,$C$13,0)</f>
        <v>45.0</v>
        <v/>
      </c>
      <c r="O30" s="30">
        <f>IF(O$17&gt;=$C$14,$C$13,0)</f>
        <v>45.0</v>
        <v/>
      </c>
      <c r="P30" s="30">
        <f>IF(P$17&gt;=$C$14,$C$13,0)</f>
        <v>45.0</v>
        <v/>
      </c>
      <c r="Q30" s="31">
        <f>SUM(E30:P30)</f>
        <v>405.0</v>
        <v/>
      </c>
    </row>
    <row r="31">
      <c r="D31" s="6" t="inlineStr">
        <is>
          <t>Apple Developer</t>
        </is>
      </c>
      <c r="E31" s="30">
        <f>IF(E$17&gt;=$C$12,$C$11,0)</f>
        <v>0.0</v>
        <v/>
      </c>
      <c r="F31" s="30">
        <f>IF(F$17&gt;=$C$12,$C$11,0)</f>
        <v>7.75</v>
        <v/>
      </c>
      <c r="G31" s="30">
        <f>IF(G$17&gt;=$C$12,$C$11,0)</f>
        <v>7.75</v>
        <v/>
      </c>
      <c r="H31" s="30">
        <f>IF(H$17&gt;=$C$12,$C$11,0)</f>
        <v>7.75</v>
        <v/>
      </c>
      <c r="I31" s="30">
        <f>IF(I$17&gt;=$C$12,$C$11,0)</f>
        <v>7.75</v>
        <v/>
      </c>
      <c r="J31" s="30">
        <f>IF(J$17&gt;=$C$12,$C$11,0)</f>
        <v>7.75</v>
        <v/>
      </c>
      <c r="K31" s="30">
        <f>IF(K$17&gt;=$C$12,$C$11,0)</f>
        <v>7.75</v>
        <v/>
      </c>
      <c r="L31" s="30">
        <f>IF(L$17&gt;=$C$12,$C$11,0)</f>
        <v>7.75</v>
        <v/>
      </c>
      <c r="M31" s="30">
        <f>IF(M$17&gt;=$C$12,$C$11,0)</f>
        <v>7.75</v>
        <v/>
      </c>
      <c r="N31" s="30">
        <f>IF(N$17&gt;=$C$12,$C$11,0)</f>
        <v>7.75</v>
        <v/>
      </c>
      <c r="O31" s="30">
        <f>IF(O$17&gt;=$C$12,$C$11,0)</f>
        <v>7.75</v>
        <v/>
      </c>
      <c r="P31" s="30">
        <f>IF(P$17&gt;=$C$12,$C$11,0)</f>
        <v>7.75</v>
        <v/>
      </c>
      <c r="Q31" s="31">
        <f>SUM(E31:P31)</f>
        <v>85.25</v>
        <v/>
      </c>
    </row>
    <row r="32">
      <c r="D32" s="6" t="inlineStr">
        <is>
          <t>Nom de domaine</t>
        </is>
      </c>
      <c r="E32" s="30">
        <f>$C$10</f>
        <v>0.83</v>
        <v/>
      </c>
      <c r="F32" s="30">
        <f>$C$10</f>
        <v>0.83</v>
        <v/>
      </c>
      <c r="G32" s="30">
        <f>$C$10</f>
        <v>0.83</v>
        <v/>
      </c>
      <c r="H32" s="30">
        <f>$C$10</f>
        <v>0.83</v>
        <v/>
      </c>
      <c r="I32" s="30">
        <f>$C$10</f>
        <v>0.83</v>
        <v/>
      </c>
      <c r="J32" s="30">
        <f>$C$10</f>
        <v>0.83</v>
        <v/>
      </c>
      <c r="K32" s="30">
        <f>$C$10</f>
        <v>0.83</v>
        <v/>
      </c>
      <c r="L32" s="30">
        <f>$C$10</f>
        <v>0.83</v>
        <v/>
      </c>
      <c r="M32" s="30">
        <f>$C$10</f>
        <v>0.83</v>
        <v/>
      </c>
      <c r="N32" s="30">
        <f>$C$10</f>
        <v>0.83</v>
        <v/>
      </c>
      <c r="O32" s="30">
        <f>$C$10</f>
        <v>0.83</v>
        <v/>
      </c>
      <c r="P32" s="30">
        <f>$C$10</f>
        <v>0.83</v>
        <v/>
      </c>
      <c r="Q32" s="31">
        <f>SUM(E32:P32)</f>
        <v>9.96</v>
        <v/>
      </c>
    </row>
    <row r="33">
      <c r="D33" s="6" t="inlineStr">
        <is>
          <t>Commissions Stripe</t>
        </is>
      </c>
      <c r="E33" s="30">
        <f>E25*$C$8+E22*$C$9</f>
        <v>0.0</v>
        <v/>
      </c>
      <c r="F33" s="30">
        <f>F25*$C$8+F22*$C$9</f>
        <v>0.137</v>
        <v/>
      </c>
      <c r="G33" s="30">
        <f>G25*$C$8+G22*$C$9</f>
        <v>0.3836</v>
        <v/>
      </c>
      <c r="H33" s="30">
        <f>H25*$C$8+H22*$C$9</f>
        <v>0.9864</v>
        <v/>
      </c>
      <c r="I33" s="30">
        <f>I25*$C$8+I22*$C$9</f>
        <v>1.8495</v>
        <v/>
      </c>
      <c r="J33" s="30">
        <f>J25*$C$8+J22*$C$9</f>
        <v>3.2058</v>
        <v/>
      </c>
      <c r="K33" s="30">
        <f>K25*$C$8+K22*$C$9</f>
        <v>5.4252</v>
        <v/>
      </c>
      <c r="L33" s="30">
        <f>L25*$C$8+L22*$C$9</f>
        <v>8.22</v>
        <v/>
      </c>
      <c r="M33" s="30">
        <f>M25*$C$8+M22*$C$9</f>
        <v>11.8916</v>
        <v/>
      </c>
      <c r="N33" s="30">
        <f>N25*$C$8+N22*$C$9</f>
        <v>17.536</v>
        <v/>
      </c>
      <c r="O33" s="30">
        <f>O25*$C$8+O22*$C$9</f>
        <v>23.975</v>
        <v/>
      </c>
      <c r="P33" s="30">
        <f>P25*$C$8+P22*$C$9</f>
        <v>32.5375</v>
        <v/>
      </c>
      <c r="Q33" s="31">
        <f>SUM(E33:P33)</f>
        <v>106.1476</v>
        <v/>
      </c>
    </row>
    <row r="34">
      <c r="D34" s="12" t="inlineStr">
        <is>
          <t>Coûts totaux</t>
        </is>
      </c>
      <c r="E34" s="31">
        <f>SUM(E30:E33)</f>
        <v>0.83</v>
        <v/>
      </c>
      <c r="F34" s="31">
        <f>SUM(F30:F33)</f>
        <v>8.717</v>
        <v/>
      </c>
      <c r="G34" s="31">
        <f>SUM(G30:G33)</f>
        <v>8.9636</v>
        <v/>
      </c>
      <c r="H34" s="31">
        <f>SUM(H30:H33)</f>
        <v>54.5664</v>
        <v/>
      </c>
      <c r="I34" s="31">
        <f>SUM(I30:I33)</f>
        <v>55.4295</v>
        <v/>
      </c>
      <c r="J34" s="31">
        <f>SUM(J30:J33)</f>
        <v>56.7858</v>
        <v/>
      </c>
      <c r="K34" s="31">
        <f>SUM(K30:K33)</f>
        <v>59.0052</v>
        <v/>
      </c>
      <c r="L34" s="31">
        <f>SUM(L30:L33)</f>
        <v>61.8</v>
        <v/>
      </c>
      <c r="M34" s="31">
        <f>SUM(M30:M33)</f>
        <v>65.4716</v>
        <v/>
      </c>
      <c r="N34" s="31">
        <f>SUM(N30:N33)</f>
        <v>71.116</v>
        <v/>
      </c>
      <c r="O34" s="31">
        <f>SUM(O30:O33)</f>
        <v>77.555</v>
        <v/>
      </c>
      <c r="P34" s="31">
        <f>SUM(P30:P33)</f>
        <v>86.1175</v>
        <v/>
      </c>
      <c r="Q34" s="31">
        <f>SUM(E34:P34)</f>
        <v>606.3576</v>
        <v/>
      </c>
    </row>
    <row r="35">
      <c r="D35" s="23" t="inlineStr">
        <is>
          <t>RÉSULTAT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  <row r="36">
      <c r="D36" s="12" t="inlineStr">
        <is>
          <t>Résultat net du mois</t>
        </is>
      </c>
      <c r="E36" s="31">
        <f>E28-E34</f>
        <v>11.17</v>
        <v/>
      </c>
      <c r="F36" s="31">
        <f>F28-F34</f>
        <v>21.083</v>
        <v/>
      </c>
      <c r="G36" s="31">
        <f>G28-G34</f>
        <v>49.2764</v>
        <v/>
      </c>
      <c r="H36" s="31">
        <f>H28-H34</f>
        <v>59.1936</v>
        <v/>
      </c>
      <c r="I36" s="31">
        <f>I28-I34</f>
        <v>130.8705</v>
        <v/>
      </c>
      <c r="J36" s="31">
        <f>J28-J34</f>
        <v>734.9342</v>
        <v/>
      </c>
      <c r="K36" s="31">
        <f>K28-K34</f>
        <v>1386.6748</v>
        <v/>
      </c>
      <c r="L36" s="31">
        <f>L28-L34</f>
        <v>1574.2</v>
        <v/>
      </c>
      <c r="M36" s="31">
        <f>M28-M34</f>
        <v>2309.9684</v>
        <v/>
      </c>
      <c r="N36" s="31">
        <f>N28-N34</f>
        <v>2651.284</v>
        <v/>
      </c>
      <c r="O36" s="31">
        <f>O28-O34</f>
        <v>3537.445</v>
        <v/>
      </c>
      <c r="P36" s="31">
        <f>P28-P34</f>
        <v>4041.3825</v>
        <v/>
      </c>
      <c r="Q36" s="31">
        <f>SUM(E36:P36)</f>
        <v>16507.4824</v>
        <v/>
      </c>
    </row>
    <row r="37">
      <c r="D37" s="6" t="inlineStr">
        <is>
          <t>Trésorerie cumulée</t>
        </is>
      </c>
      <c r="E37" s="36">
        <f>E36</f>
        <v>11.17</v>
        <v/>
      </c>
      <c r="F37" s="36">
        <f>E37+F36</f>
        <v>32.253</v>
        <v/>
      </c>
      <c r="G37" s="36">
        <f>F37+G36</f>
        <v>81.5294</v>
        <v/>
      </c>
      <c r="H37" s="36">
        <f>G37+H36</f>
        <v>140.723</v>
        <v/>
      </c>
      <c r="I37" s="36">
        <f>H37+I36</f>
        <v>271.5935</v>
        <v/>
      </c>
      <c r="J37" s="36">
        <f>I37+J36</f>
        <v>1006.5277</v>
        <v/>
      </c>
      <c r="K37" s="36">
        <f>J37+K36</f>
        <v>2393.2025</v>
        <v/>
      </c>
      <c r="L37" s="36">
        <f>K37+L36</f>
        <v>3967.4025</v>
        <v/>
      </c>
      <c r="M37" s="36">
        <f>L37+M36</f>
        <v>6277.3709</v>
        <v/>
      </c>
      <c r="N37" s="36">
        <f>M37+N36</f>
        <v>8928.6549</v>
        <v/>
      </c>
      <c r="O37" s="36">
        <f>N37+O36</f>
        <v>12466.0999</v>
        <v/>
      </c>
      <c r="P37" s="36">
        <f>O37+P36</f>
        <v>16507.4824</v>
        <v/>
      </c>
    </row>
  </sheetData>
  <mergeCells count="1"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 ht="30" customHeight="1">
      <c r="B2" s="14" t="inlineStr">
        <is>
          <t>Comparaison des 3 scénarios — année 1</t>
        </is>
      </c>
    </row>
    <row r="4" ht="28" customHeight="1">
      <c r="B4" s="37" t="inlineStr">
        <is>
          <t>Scénario</t>
        </is>
      </c>
      <c r="C4" s="38" t="inlineStr">
        <is>
          <t>CA année</t>
        </is>
      </c>
      <c r="D4" s="38" t="inlineStr">
        <is>
          <t>Coûts année</t>
        </is>
      </c>
      <c r="E4" s="38" t="inlineStr">
        <is>
          <t>Résultat net</t>
        </is>
      </c>
      <c r="F4" s="38" t="inlineStr">
        <is>
          <t>CA mensuel M12</t>
        </is>
      </c>
      <c r="G4" s="38" t="inlineStr">
        <is>
          <t>Restos premium M12</t>
        </is>
      </c>
    </row>
    <row r="5">
      <c r="B5" s="6" t="inlineStr">
        <is>
          <t>Pessimiste (gratter le fond)</t>
        </is>
      </c>
      <c r="C5" s="39">
        <f>'Modèle'!Q28</f>
        <v>191.26</v>
        <v/>
      </c>
      <c r="D5" s="39">
        <f>'Modèle'!Q34</f>
        <v>170.4599</v>
        <v/>
      </c>
      <c r="E5" s="39">
        <f>'Modèle'!Q36</f>
        <v>20.8001</v>
        <v/>
      </c>
      <c r="F5" s="39">
        <f>'Modèle'!P28</f>
        <v>41.85</v>
        <v/>
      </c>
      <c r="G5" s="10">
        <f>'Modèle'!P22</f>
        <v>1.35</v>
        <v/>
      </c>
    </row>
    <row r="6">
      <c r="B6" s="6" t="inlineStr">
        <is>
          <t>Réaliste</t>
        </is>
      </c>
      <c r="C6" s="39">
        <f>'Réaliste'!Q28</f>
        <v>2950.08</v>
        <v/>
      </c>
      <c r="D6" s="39">
        <f>'Réaliste'!Q34</f>
        <v>318.7612</v>
        <v/>
      </c>
      <c r="E6" s="39">
        <f>'Réaliste'!Q36</f>
        <v>2631.3188</v>
        <v/>
      </c>
      <c r="F6" s="39">
        <f>'Réaliste'!P28</f>
        <v>892.16</v>
        <v/>
      </c>
      <c r="G6" s="10">
        <f>'Réaliste'!P22</f>
        <v>10.64</v>
        <v/>
      </c>
    </row>
    <row r="7">
      <c r="B7" s="6" t="inlineStr">
        <is>
          <t>Ambitieux</t>
        </is>
      </c>
      <c r="C7" s="39">
        <f>'Ambitieux'!Q28</f>
        <v>17113.84</v>
        <v/>
      </c>
      <c r="D7" s="39">
        <f>'Ambitieux'!Q34</f>
        <v>606.3576</v>
        <v/>
      </c>
      <c r="E7" s="39">
        <f>'Ambitieux'!Q36</f>
        <v>16507.4824</v>
        <v/>
      </c>
      <c r="F7" s="39">
        <f>'Ambitieux'!P28</f>
        <v>4127.5</v>
        <v/>
      </c>
      <c r="G7" s="10">
        <f>'Ambitieux'!P22</f>
        <v>47.5</v>
        <v/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2026-08-30T23:59:26Z</dcterms:created>
  <dcterms:modified xmlns:dcterms="http://purl.org/dc/terms/" xmlns:xsi="http://www.w3.org/2001/XMLSchema-instance" xsi:type="dcterms:W3CDTF">2026-08-30T23:59:26Z</dcterms:modified>
</cp:coreProperties>
</file>